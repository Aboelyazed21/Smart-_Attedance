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 GOD WE TRUST\Downloads\"/>
    </mc:Choice>
  </mc:AlternateContent>
  <bookViews>
    <workbookView xWindow="0" yWindow="0" windowWidth="23040" windowHeight="9072" tabRatio="500" activeTab="1"/>
  </bookViews>
  <sheets>
    <sheet name="Raw Data" sheetId="1" r:id="rId1"/>
    <sheet name="Dashboard" sheetId="2" r:id="rId2"/>
    <sheet name="Calc" sheetId="3" state="hidden" r:id="rId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" i="3" l="1"/>
  <c r="H8" i="3" s="1"/>
  <c r="B5" i="3"/>
  <c r="B4" i="3"/>
  <c r="B3" i="3"/>
  <c r="L10" i="2"/>
  <c r="J10" i="2"/>
  <c r="H10" i="2"/>
  <c r="F10" i="2"/>
  <c r="D10" i="2"/>
  <c r="L7" i="2"/>
  <c r="J7" i="2"/>
  <c r="H7" i="2"/>
  <c r="F7" i="2"/>
  <c r="D7" i="2"/>
  <c r="B7" i="2"/>
  <c r="I10" i="1"/>
  <c r="I9" i="1"/>
  <c r="I8" i="1"/>
  <c r="I7" i="1"/>
  <c r="I6" i="1"/>
  <c r="I5" i="1"/>
  <c r="I4" i="1"/>
  <c r="I3" i="1"/>
  <c r="I2" i="1"/>
  <c r="D9" i="3" l="1"/>
  <c r="E8" i="3"/>
  <c r="I8" i="3" s="1"/>
  <c r="F8" i="3"/>
  <c r="G8" i="3"/>
  <c r="D10" i="3" l="1"/>
  <c r="H9" i="3"/>
  <c r="G9" i="3"/>
  <c r="F9" i="3"/>
  <c r="E9" i="3"/>
  <c r="I9" i="3" s="1"/>
  <c r="H10" i="3" l="1"/>
  <c r="G10" i="3"/>
  <c r="F10" i="3"/>
  <c r="E10" i="3"/>
  <c r="I10" i="3" s="1"/>
  <c r="D11" i="3"/>
  <c r="D12" i="3" l="1"/>
  <c r="H11" i="3"/>
  <c r="G11" i="3"/>
  <c r="F11" i="3"/>
  <c r="E11" i="3"/>
  <c r="I11" i="3" s="1"/>
  <c r="H12" i="3" l="1"/>
  <c r="G12" i="3"/>
  <c r="F12" i="3"/>
  <c r="E12" i="3"/>
  <c r="I12" i="3" s="1"/>
  <c r="D13" i="3"/>
  <c r="D14" i="3" l="1"/>
  <c r="H13" i="3"/>
  <c r="G13" i="3"/>
  <c r="F13" i="3"/>
  <c r="E13" i="3"/>
  <c r="I13" i="3" s="1"/>
  <c r="H14" i="3" l="1"/>
  <c r="G14" i="3"/>
  <c r="F14" i="3"/>
  <c r="E14" i="3"/>
  <c r="I14" i="3" s="1"/>
  <c r="D15" i="3"/>
  <c r="D16" i="3" l="1"/>
  <c r="H15" i="3"/>
  <c r="G15" i="3"/>
  <c r="F15" i="3"/>
  <c r="E15" i="3"/>
  <c r="I15" i="3" s="1"/>
  <c r="H16" i="3" l="1"/>
  <c r="G16" i="3"/>
  <c r="F16" i="3"/>
  <c r="E16" i="3"/>
  <c r="I16" i="3" s="1"/>
  <c r="D17" i="3"/>
  <c r="D18" i="3" l="1"/>
  <c r="H17" i="3"/>
  <c r="G17" i="3"/>
  <c r="F17" i="3"/>
  <c r="E17" i="3"/>
  <c r="I17" i="3" s="1"/>
  <c r="H18" i="3" l="1"/>
  <c r="G18" i="3"/>
  <c r="F18" i="3"/>
  <c r="E18" i="3"/>
  <c r="I18" i="3" s="1"/>
  <c r="D19" i="3"/>
  <c r="D20" i="3" l="1"/>
  <c r="H19" i="3"/>
  <c r="G19" i="3"/>
  <c r="F19" i="3"/>
  <c r="E19" i="3"/>
  <c r="I19" i="3" s="1"/>
  <c r="H20" i="3" l="1"/>
  <c r="G20" i="3"/>
  <c r="F20" i="3"/>
  <c r="E20" i="3"/>
  <c r="I20" i="3" s="1"/>
  <c r="D21" i="3"/>
  <c r="D22" i="3" l="1"/>
  <c r="H21" i="3"/>
  <c r="G21" i="3"/>
  <c r="F21" i="3"/>
  <c r="E21" i="3"/>
  <c r="I21" i="3" s="1"/>
  <c r="H22" i="3" l="1"/>
  <c r="G22" i="3"/>
  <c r="F22" i="3"/>
  <c r="E22" i="3"/>
  <c r="I22" i="3" s="1"/>
  <c r="D23" i="3"/>
  <c r="D24" i="3" l="1"/>
  <c r="H23" i="3"/>
  <c r="G23" i="3"/>
  <c r="F23" i="3"/>
  <c r="E23" i="3"/>
  <c r="I23" i="3" s="1"/>
  <c r="H24" i="3" l="1"/>
  <c r="G24" i="3"/>
  <c r="F24" i="3"/>
  <c r="E24" i="3"/>
  <c r="I24" i="3" s="1"/>
  <c r="D25" i="3"/>
  <c r="D26" i="3" l="1"/>
  <c r="H25" i="3"/>
  <c r="G25" i="3"/>
  <c r="F25" i="3"/>
  <c r="E25" i="3"/>
  <c r="I25" i="3" s="1"/>
  <c r="H26" i="3" l="1"/>
  <c r="G26" i="3"/>
  <c r="F26" i="3"/>
  <c r="E26" i="3"/>
  <c r="I26" i="3" s="1"/>
  <c r="D27" i="3"/>
  <c r="D28" i="3" l="1"/>
  <c r="H27" i="3"/>
  <c r="G27" i="3"/>
  <c r="F27" i="3"/>
  <c r="E27" i="3"/>
  <c r="I27" i="3" s="1"/>
  <c r="H28" i="3" l="1"/>
  <c r="G28" i="3"/>
  <c r="F28" i="3"/>
  <c r="E28" i="3"/>
  <c r="I28" i="3" s="1"/>
  <c r="D29" i="3"/>
  <c r="D30" i="3" l="1"/>
  <c r="H29" i="3"/>
  <c r="G29" i="3"/>
  <c r="F29" i="3"/>
  <c r="E29" i="3"/>
  <c r="I29" i="3" s="1"/>
  <c r="H30" i="3" l="1"/>
  <c r="G30" i="3"/>
  <c r="F30" i="3"/>
  <c r="E30" i="3"/>
  <c r="I30" i="3" s="1"/>
  <c r="D31" i="3"/>
  <c r="D32" i="3" l="1"/>
  <c r="H31" i="3"/>
  <c r="G31" i="3"/>
  <c r="F31" i="3"/>
  <c r="E31" i="3"/>
  <c r="I31" i="3" s="1"/>
  <c r="H32" i="3" l="1"/>
  <c r="G32" i="3"/>
  <c r="F32" i="3"/>
  <c r="E32" i="3"/>
  <c r="I32" i="3" s="1"/>
  <c r="D33" i="3"/>
  <c r="D34" i="3" l="1"/>
  <c r="H33" i="3"/>
  <c r="G33" i="3"/>
  <c r="F33" i="3"/>
  <c r="E33" i="3"/>
  <c r="I33" i="3" s="1"/>
  <c r="H34" i="3" l="1"/>
  <c r="G34" i="3"/>
  <c r="F34" i="3"/>
  <c r="E34" i="3"/>
  <c r="I34" i="3" s="1"/>
  <c r="D35" i="3"/>
  <c r="D36" i="3" l="1"/>
  <c r="H35" i="3"/>
  <c r="G35" i="3"/>
  <c r="F35" i="3"/>
  <c r="E35" i="3"/>
  <c r="I35" i="3" s="1"/>
  <c r="H36" i="3" l="1"/>
  <c r="G36" i="3"/>
  <c r="F36" i="3"/>
  <c r="E36" i="3"/>
  <c r="I36" i="3" s="1"/>
  <c r="D37" i="3"/>
  <c r="D38" i="3" l="1"/>
  <c r="H37" i="3"/>
  <c r="G37" i="3"/>
  <c r="F37" i="3"/>
  <c r="E37" i="3"/>
  <c r="I37" i="3" s="1"/>
  <c r="H38" i="3" l="1"/>
  <c r="G38" i="3"/>
  <c r="F38" i="3"/>
  <c r="E38" i="3"/>
  <c r="I38" i="3" s="1"/>
  <c r="D39" i="3"/>
  <c r="D40" i="3" l="1"/>
  <c r="H39" i="3"/>
  <c r="G39" i="3"/>
  <c r="F39" i="3"/>
  <c r="E39" i="3"/>
  <c r="I39" i="3" s="1"/>
  <c r="H40" i="3" l="1"/>
  <c r="G40" i="3"/>
  <c r="F40" i="3"/>
  <c r="E40" i="3"/>
  <c r="I40" i="3" s="1"/>
  <c r="D41" i="3"/>
  <c r="D42" i="3" l="1"/>
  <c r="H41" i="3"/>
  <c r="G41" i="3"/>
  <c r="F41" i="3"/>
  <c r="E41" i="3"/>
  <c r="I41" i="3" s="1"/>
  <c r="H42" i="3" l="1"/>
  <c r="G42" i="3"/>
  <c r="F42" i="3"/>
  <c r="E42" i="3"/>
  <c r="I42" i="3" s="1"/>
  <c r="D43" i="3"/>
  <c r="D44" i="3" l="1"/>
  <c r="H43" i="3"/>
  <c r="G43" i="3"/>
  <c r="F43" i="3"/>
  <c r="E43" i="3"/>
  <c r="I43" i="3" s="1"/>
  <c r="H44" i="3" l="1"/>
  <c r="G44" i="3"/>
  <c r="F44" i="3"/>
  <c r="E44" i="3"/>
  <c r="I44" i="3" s="1"/>
  <c r="D45" i="3"/>
  <c r="D46" i="3" l="1"/>
  <c r="H45" i="3"/>
  <c r="G45" i="3"/>
  <c r="F45" i="3"/>
  <c r="E45" i="3"/>
  <c r="I45" i="3" s="1"/>
  <c r="H46" i="3" l="1"/>
  <c r="G46" i="3"/>
  <c r="F46" i="3"/>
  <c r="E46" i="3"/>
  <c r="I46" i="3" s="1"/>
  <c r="D47" i="3"/>
  <c r="D48" i="3" l="1"/>
  <c r="H47" i="3"/>
  <c r="G47" i="3"/>
  <c r="F47" i="3"/>
  <c r="E47" i="3"/>
  <c r="I47" i="3" s="1"/>
  <c r="H48" i="3" l="1"/>
  <c r="G48" i="3"/>
  <c r="F48" i="3"/>
  <c r="E48" i="3"/>
  <c r="I48" i="3" s="1"/>
  <c r="D49" i="3"/>
  <c r="D50" i="3" l="1"/>
  <c r="H49" i="3"/>
  <c r="G49" i="3"/>
  <c r="F49" i="3"/>
  <c r="E49" i="3"/>
  <c r="I49" i="3" s="1"/>
  <c r="H50" i="3" l="1"/>
  <c r="G50" i="3"/>
  <c r="F50" i="3"/>
  <c r="E50" i="3"/>
  <c r="I50" i="3" s="1"/>
  <c r="D51" i="3"/>
  <c r="D52" i="3" l="1"/>
  <c r="H51" i="3"/>
  <c r="G51" i="3"/>
  <c r="F51" i="3"/>
  <c r="E51" i="3"/>
  <c r="I51" i="3" s="1"/>
  <c r="H52" i="3" l="1"/>
  <c r="G52" i="3"/>
  <c r="F52" i="3"/>
  <c r="E52" i="3"/>
  <c r="I52" i="3" s="1"/>
</calcChain>
</file>

<file path=xl/sharedStrings.xml><?xml version="1.0" encoding="utf-8"?>
<sst xmlns="http://schemas.openxmlformats.org/spreadsheetml/2006/main" count="73" uniqueCount="45">
  <si>
    <t>ID</t>
  </si>
  <si>
    <t>Name</t>
  </si>
  <si>
    <t>Email</t>
  </si>
  <si>
    <t>Password</t>
  </si>
  <si>
    <t>Role</t>
  </si>
  <si>
    <t>Status</t>
  </si>
  <si>
    <t>Created_at</t>
  </si>
  <si>
    <t>Email_domain</t>
  </si>
  <si>
    <t>Aboelyazzed Hatem</t>
  </si>
  <si>
    <t>aboelyazzedhatem992@gmail.com</t>
  </si>
  <si>
    <t>*******</t>
  </si>
  <si>
    <t>engineer</t>
  </si>
  <si>
    <t>active</t>
  </si>
  <si>
    <t>seeker</t>
  </si>
  <si>
    <t>Monir Ossama</t>
  </si>
  <si>
    <t>admin@engineerhub.com</t>
  </si>
  <si>
    <t>admin</t>
  </si>
  <si>
    <t>Salma Ali</t>
  </si>
  <si>
    <t>salma@gmail.com</t>
  </si>
  <si>
    <t>Salma Hassan</t>
  </si>
  <si>
    <t>aboelyazzedjjjhatem992@gmail.com</t>
  </si>
  <si>
    <t>Salma Khalil</t>
  </si>
  <si>
    <t>Salmaatmedji@gamil.com</t>
  </si>
  <si>
    <t>Eng. ZEZO1</t>
  </si>
  <si>
    <t>zezo9h43@gmail.com</t>
  </si>
  <si>
    <t>Ali Omar</t>
  </si>
  <si>
    <t>x@gamil.com</t>
  </si>
  <si>
    <t>Ahmed Ali</t>
  </si>
  <si>
    <t>zezzo943@gmail.com</t>
  </si>
  <si>
    <t>Users Dashboard</t>
  </si>
  <si>
    <t>TOTAL USERS</t>
  </si>
  <si>
    <t>ENGINEERS</t>
  </si>
  <si>
    <t>SEEKERS</t>
  </si>
  <si>
    <t>ADMINS</t>
  </si>
  <si>
    <t>ACTIVE USERS</t>
  </si>
  <si>
    <t>LAST SIGN-UP</t>
  </si>
  <si>
    <t>registered accounts</t>
  </si>
  <si>
    <t>توزيع الأدوار (Role breakdown) - مصدر رسم Users by Role</t>
  </si>
  <si>
    <t>Count</t>
  </si>
  <si>
    <t>Engineer</t>
  </si>
  <si>
    <t>Seeker</t>
  </si>
  <si>
    <t>Admin</t>
  </si>
  <si>
    <t>Date</t>
  </si>
  <si>
    <t>Total</t>
  </si>
  <si>
    <t>Cumulative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</si>
</sst>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h:mm:ss"/>
    <numFmt numFmtId="165" formatCode="d/m"/>
  </numFmts>
  <fonts count="1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10"/>
      <color rgb="FF6B7280"/>
      <name val="Arial"/>
      <charset val="1"/>
    </font>
    <font>
      <b/>
      <sz val="26"/>
      <color rgb="FFFFFFFF"/>
      <name val="Arial"/>
      <charset val="1"/>
    </font>
    <font>
      <b/>
      <sz val="9"/>
      <color rgb="FF6B7280"/>
      <name val="Arial"/>
      <charset val="1"/>
    </font>
    <font>
      <b/>
      <sz val="26"/>
      <color rgb="FF0EA5B7"/>
      <name val="Arial"/>
      <charset val="1"/>
    </font>
    <font>
      <b/>
      <sz val="26"/>
      <color rgb="FF2F5FAE"/>
      <name val="Arial"/>
      <charset val="1"/>
    </font>
    <font>
      <b/>
      <sz val="26"/>
      <color rgb="FF16A085"/>
      <name val="Arial"/>
      <charset val="1"/>
    </font>
    <font>
      <b/>
      <sz val="26"/>
      <color rgb="FFE67E22"/>
      <name val="Arial"/>
      <charset val="1"/>
    </font>
    <font>
      <b/>
      <sz val="26"/>
      <color rgb="FF27AE60"/>
      <name val="Arial"/>
      <charset val="1"/>
    </font>
    <font>
      <b/>
      <sz val="16"/>
      <color rgb="FF1B2A4A"/>
      <name val="Arial"/>
      <charset val="1"/>
    </font>
    <font>
      <sz val="8"/>
      <color rgb="FF6B7280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2F5FA"/>
        <bgColor rgb="FFFFFFFF"/>
      </patternFill>
    </fill>
  </fills>
  <borders count="9">
    <border>
      <left/>
      <right/>
      <top/>
      <bottom/>
      <diagonal/>
    </border>
    <border>
      <left style="thin">
        <color rgb="FFD9DEE6"/>
      </left>
      <right style="thin">
        <color rgb="FFD9DEE6"/>
      </right>
      <top style="thick">
        <color rgb="FF0EA5B7"/>
      </top>
      <bottom/>
      <diagonal/>
    </border>
    <border>
      <left style="thin">
        <color rgb="FFD9DEE6"/>
      </left>
      <right style="thin">
        <color rgb="FFD9DEE6"/>
      </right>
      <top style="thick">
        <color rgb="FF2F5FAE"/>
      </top>
      <bottom/>
      <diagonal/>
    </border>
    <border>
      <left style="thin">
        <color rgb="FFD9DEE6"/>
      </left>
      <right style="thin">
        <color rgb="FFD9DEE6"/>
      </right>
      <top style="thick">
        <color rgb="FF16A085"/>
      </top>
      <bottom/>
      <diagonal/>
    </border>
    <border>
      <left style="thin">
        <color rgb="FFD9DEE6"/>
      </left>
      <right style="thin">
        <color rgb="FFD9DEE6"/>
      </right>
      <top style="thick">
        <color rgb="FFE67E22"/>
      </top>
      <bottom/>
      <diagonal/>
    </border>
    <border>
      <left style="thin">
        <color rgb="FFD9DEE6"/>
      </left>
      <right style="thin">
        <color rgb="FFD9DEE6"/>
      </right>
      <top style="thick">
        <color rgb="FF27AE60"/>
      </top>
      <bottom/>
      <diagonal/>
    </border>
    <border>
      <left style="thin">
        <color rgb="FFD9DEE6"/>
      </left>
      <right style="thin">
        <color rgb="FFD9DEE6"/>
      </right>
      <top style="thick">
        <color rgb="FF1B2A4A"/>
      </top>
      <bottom/>
      <diagonal/>
    </border>
    <border>
      <left style="thin">
        <color rgb="FFD9DEE6"/>
      </left>
      <right style="thin">
        <color rgb="FFD9DEE6"/>
      </right>
      <top style="thin">
        <color rgb="FFD9DEE6"/>
      </top>
      <bottom/>
      <diagonal/>
    </border>
    <border>
      <left style="thin">
        <color rgb="FFD9DEE6"/>
      </left>
      <right style="thin">
        <color rgb="FFD9DEE6"/>
      </right>
      <top style="thin">
        <color rgb="FFD9DEE6"/>
      </top>
      <bottom style="thin">
        <color rgb="FFD9DEE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1" fillId="3" borderId="7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/>
    <xf numFmtId="0" fontId="13" fillId="0" borderId="0" xfId="0" applyFont="1"/>
    <xf numFmtId="0" fontId="2" fillId="0" borderId="0" xfId="0" applyFont="1"/>
    <xf numFmtId="165" fontId="0" fillId="0" borderId="0" xfId="0" applyNumberFormat="1"/>
    <xf numFmtId="0" fontId="0" fillId="0" borderId="0" xfId="0"/>
    <xf numFmtId="0" fontId="12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A085"/>
      <rgbColor rgb="FFC0C0C0"/>
      <rgbColor rgb="FF878787"/>
      <rgbColor rgb="FF9999FF"/>
      <rgbColor rgb="FFC0504D"/>
      <rgbColor rgb="FFF2F5FA"/>
      <rgbColor rgb="FFD9DEE6"/>
      <rgbColor rgb="FF660066"/>
      <rgbColor rgb="FFFF8080"/>
      <rgbColor rgb="FF4A7EBB"/>
      <rgbColor rgb="FFD9D9D9"/>
      <rgbColor rgb="FF000080"/>
      <rgbColor rgb="FFFF00FF"/>
      <rgbColor rgb="FFFFFF00"/>
      <rgbColor rgb="FF00FFFF"/>
      <rgbColor rgb="FF800080"/>
      <rgbColor rgb="FF800000"/>
      <rgbColor rgb="FF0EA5B7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5FAE"/>
      <rgbColor rgb="FF33CCCC"/>
      <rgbColor rgb="FF9BBB59"/>
      <rgbColor rgb="FFFFCC00"/>
      <rgbColor rgb="FFFF9900"/>
      <rgbColor rgb="FFE67E22"/>
      <rgbColor rgb="FF6B7280"/>
      <rgbColor rgb="FF4F81BD"/>
      <rgbColor rgb="FF003366"/>
      <rgbColor rgb="FF27AE60"/>
      <rgbColor rgb="FF003300"/>
      <rgbColor rgb="FF333300"/>
      <rgbColor rgb="FF993300"/>
      <rgbColor rgb="FF993366"/>
      <rgbColor rgb="FF333399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Users by Role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Calc!$B$2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8380-492C-8E07-E353183C587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380-492C-8E07-E353183C587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380-492C-8E07-E353183C587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8380-492C-8E07-E353183C587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8380-492C-8E07-E353183C587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8380-492C-8E07-E353183C58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Calc!$A$3:$A$5</c:f>
              <c:strCache>
                <c:ptCount val="3"/>
                <c:pt idx="0">
                  <c:v>Engineer</c:v>
                </c:pt>
                <c:pt idx="1">
                  <c:v>Seeker</c:v>
                </c:pt>
                <c:pt idx="2">
                  <c:v>Admin</c:v>
                </c:pt>
              </c:strCache>
            </c:strRef>
          </c:cat>
          <c:val>
            <c:numRef>
              <c:f>Calc!$B$3:$B$5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80-492C-8E07-E353183C5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Daily Sign-ups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Calc!$E$7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Calc!$D$8:$D$52</c:f>
              <c:numCache>
                <c:formatCode>d/m</c:formatCode>
                <c:ptCount val="45"/>
                <c:pt idx="0">
                  <c:v>46261</c:v>
                </c:pt>
                <c:pt idx="1">
                  <c:v>46262</c:v>
                </c:pt>
                <c:pt idx="2">
                  <c:v>46263</c:v>
                </c:pt>
                <c:pt idx="3">
                  <c:v>46264</c:v>
                </c:pt>
                <c:pt idx="4">
                  <c:v>46265</c:v>
                </c:pt>
                <c:pt idx="5">
                  <c:v>46266</c:v>
                </c:pt>
                <c:pt idx="6">
                  <c:v>46267</c:v>
                </c:pt>
                <c:pt idx="7">
                  <c:v>46268</c:v>
                </c:pt>
                <c:pt idx="8">
                  <c:v>46269</c:v>
                </c:pt>
                <c:pt idx="9">
                  <c:v>46270</c:v>
                </c:pt>
                <c:pt idx="10">
                  <c:v>46271</c:v>
                </c:pt>
                <c:pt idx="11">
                  <c:v>46272</c:v>
                </c:pt>
                <c:pt idx="12">
                  <c:v>46273</c:v>
                </c:pt>
                <c:pt idx="13">
                  <c:v>46274</c:v>
                </c:pt>
                <c:pt idx="14">
                  <c:v>46275</c:v>
                </c:pt>
                <c:pt idx="15">
                  <c:v>46276</c:v>
                </c:pt>
                <c:pt idx="16">
                  <c:v>46277</c:v>
                </c:pt>
                <c:pt idx="17">
                  <c:v>46278</c:v>
                </c:pt>
                <c:pt idx="18">
                  <c:v>46279</c:v>
                </c:pt>
                <c:pt idx="19">
                  <c:v>46280</c:v>
                </c:pt>
                <c:pt idx="20">
                  <c:v>46281</c:v>
                </c:pt>
                <c:pt idx="21">
                  <c:v>46282</c:v>
                </c:pt>
                <c:pt idx="22">
                  <c:v>46283</c:v>
                </c:pt>
                <c:pt idx="23">
                  <c:v>46284</c:v>
                </c:pt>
                <c:pt idx="24">
                  <c:v>46285</c:v>
                </c:pt>
                <c:pt idx="25">
                  <c:v>46286</c:v>
                </c:pt>
                <c:pt idx="26">
                  <c:v>46287</c:v>
                </c:pt>
                <c:pt idx="27">
                  <c:v>46288</c:v>
                </c:pt>
                <c:pt idx="28">
                  <c:v>46289</c:v>
                </c:pt>
                <c:pt idx="29">
                  <c:v>46290</c:v>
                </c:pt>
                <c:pt idx="30">
                  <c:v>46291</c:v>
                </c:pt>
                <c:pt idx="31">
                  <c:v>46292</c:v>
                </c:pt>
                <c:pt idx="32">
                  <c:v>46293</c:v>
                </c:pt>
                <c:pt idx="33">
                  <c:v>46294</c:v>
                </c:pt>
                <c:pt idx="34">
                  <c:v>46295</c:v>
                </c:pt>
                <c:pt idx="35">
                  <c:v>46296</c:v>
                </c:pt>
                <c:pt idx="36">
                  <c:v>46297</c:v>
                </c:pt>
                <c:pt idx="37">
                  <c:v>46298</c:v>
                </c:pt>
                <c:pt idx="38">
                  <c:v>46299</c:v>
                </c:pt>
                <c:pt idx="39">
                  <c:v>46300</c:v>
                </c:pt>
                <c:pt idx="40">
                  <c:v>46301</c:v>
                </c:pt>
                <c:pt idx="41">
                  <c:v>46302</c:v>
                </c:pt>
                <c:pt idx="42">
                  <c:v>46303</c:v>
                </c:pt>
                <c:pt idx="43">
                  <c:v>46304</c:v>
                </c:pt>
                <c:pt idx="44">
                  <c:v>46305</c:v>
                </c:pt>
              </c:numCache>
            </c:numRef>
          </c:cat>
          <c:val>
            <c:numRef>
              <c:f>Calc!$E$8:$E$52</c:f>
              <c:numCache>
                <c:formatCode>General</c:formatCode>
                <c:ptCount val="45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1-4E69-B31C-1976E84E4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893168"/>
        <c:axId val="84777061"/>
      </c:barChart>
      <c:dateAx>
        <c:axId val="65893168"/>
        <c:scaling>
          <c:orientation val="minMax"/>
        </c:scaling>
        <c:delete val="0"/>
        <c:axPos val="b"/>
        <c:numFmt formatCode="d/m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777061"/>
        <c:crosses val="autoZero"/>
        <c:auto val="1"/>
        <c:lblOffset val="100"/>
        <c:baseTimeUnit val="days"/>
      </c:dateAx>
      <c:valAx>
        <c:axId val="8477706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8931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Cumulative Users (growth)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Calc!$I$7</c:f>
              <c:strCache>
                <c:ptCount val="1"/>
                <c:pt idx="0">
                  <c:v>Cumulative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4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Calc!$D$8:$D$52</c:f>
              <c:numCache>
                <c:formatCode>d/m</c:formatCode>
                <c:ptCount val="45"/>
                <c:pt idx="0">
                  <c:v>46261</c:v>
                </c:pt>
                <c:pt idx="1">
                  <c:v>46262</c:v>
                </c:pt>
                <c:pt idx="2">
                  <c:v>46263</c:v>
                </c:pt>
                <c:pt idx="3">
                  <c:v>46264</c:v>
                </c:pt>
                <c:pt idx="4">
                  <c:v>46265</c:v>
                </c:pt>
                <c:pt idx="5">
                  <c:v>46266</c:v>
                </c:pt>
                <c:pt idx="6">
                  <c:v>46267</c:v>
                </c:pt>
                <c:pt idx="7">
                  <c:v>46268</c:v>
                </c:pt>
                <c:pt idx="8">
                  <c:v>46269</c:v>
                </c:pt>
                <c:pt idx="9">
                  <c:v>46270</c:v>
                </c:pt>
                <c:pt idx="10">
                  <c:v>46271</c:v>
                </c:pt>
                <c:pt idx="11">
                  <c:v>46272</c:v>
                </c:pt>
                <c:pt idx="12">
                  <c:v>46273</c:v>
                </c:pt>
                <c:pt idx="13">
                  <c:v>46274</c:v>
                </c:pt>
                <c:pt idx="14">
                  <c:v>46275</c:v>
                </c:pt>
                <c:pt idx="15">
                  <c:v>46276</c:v>
                </c:pt>
                <c:pt idx="16">
                  <c:v>46277</c:v>
                </c:pt>
                <c:pt idx="17">
                  <c:v>46278</c:v>
                </c:pt>
                <c:pt idx="18">
                  <c:v>46279</c:v>
                </c:pt>
                <c:pt idx="19">
                  <c:v>46280</c:v>
                </c:pt>
                <c:pt idx="20">
                  <c:v>46281</c:v>
                </c:pt>
                <c:pt idx="21">
                  <c:v>46282</c:v>
                </c:pt>
                <c:pt idx="22">
                  <c:v>46283</c:v>
                </c:pt>
                <c:pt idx="23">
                  <c:v>46284</c:v>
                </c:pt>
                <c:pt idx="24">
                  <c:v>46285</c:v>
                </c:pt>
                <c:pt idx="25">
                  <c:v>46286</c:v>
                </c:pt>
                <c:pt idx="26">
                  <c:v>46287</c:v>
                </c:pt>
                <c:pt idx="27">
                  <c:v>46288</c:v>
                </c:pt>
                <c:pt idx="28">
                  <c:v>46289</c:v>
                </c:pt>
                <c:pt idx="29">
                  <c:v>46290</c:v>
                </c:pt>
                <c:pt idx="30">
                  <c:v>46291</c:v>
                </c:pt>
                <c:pt idx="31">
                  <c:v>46292</c:v>
                </c:pt>
                <c:pt idx="32">
                  <c:v>46293</c:v>
                </c:pt>
                <c:pt idx="33">
                  <c:v>46294</c:v>
                </c:pt>
                <c:pt idx="34">
                  <c:v>46295</c:v>
                </c:pt>
                <c:pt idx="35">
                  <c:v>46296</c:v>
                </c:pt>
                <c:pt idx="36">
                  <c:v>46297</c:v>
                </c:pt>
                <c:pt idx="37">
                  <c:v>46298</c:v>
                </c:pt>
                <c:pt idx="38">
                  <c:v>46299</c:v>
                </c:pt>
                <c:pt idx="39">
                  <c:v>46300</c:v>
                </c:pt>
                <c:pt idx="40">
                  <c:v>46301</c:v>
                </c:pt>
                <c:pt idx="41">
                  <c:v>46302</c:v>
                </c:pt>
                <c:pt idx="42">
                  <c:v>46303</c:v>
                </c:pt>
                <c:pt idx="43">
                  <c:v>46304</c:v>
                </c:pt>
                <c:pt idx="44">
                  <c:v>46305</c:v>
                </c:pt>
              </c:numCache>
            </c:numRef>
          </c:cat>
          <c:val>
            <c:numRef>
              <c:f>Calc!$I$8:$I$52</c:f>
              <c:numCache>
                <c:formatCode>General</c:formatCode>
                <c:ptCount val="45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56-4471-A01F-2EA22C77A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0499037"/>
        <c:axId val="40878036"/>
      </c:lineChart>
      <c:dateAx>
        <c:axId val="90499037"/>
        <c:scaling>
          <c:orientation val="minMax"/>
        </c:scaling>
        <c:delete val="0"/>
        <c:axPos val="b"/>
        <c:numFmt formatCode="d/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878036"/>
        <c:crosses val="autoZero"/>
        <c:auto val="1"/>
        <c:lblOffset val="100"/>
        <c:baseTimeUnit val="days"/>
      </c:dateAx>
      <c:valAx>
        <c:axId val="408780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4990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Daily Sign-ups by Role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Calc!$F$7</c:f>
              <c:strCache>
                <c:ptCount val="1"/>
                <c:pt idx="0">
                  <c:v>Engineer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Calc!$D$8:$D$52</c:f>
              <c:numCache>
                <c:formatCode>d/m</c:formatCode>
                <c:ptCount val="45"/>
                <c:pt idx="0">
                  <c:v>46261</c:v>
                </c:pt>
                <c:pt idx="1">
                  <c:v>46262</c:v>
                </c:pt>
                <c:pt idx="2">
                  <c:v>46263</c:v>
                </c:pt>
                <c:pt idx="3">
                  <c:v>46264</c:v>
                </c:pt>
                <c:pt idx="4">
                  <c:v>46265</c:v>
                </c:pt>
                <c:pt idx="5">
                  <c:v>46266</c:v>
                </c:pt>
                <c:pt idx="6">
                  <c:v>46267</c:v>
                </c:pt>
                <c:pt idx="7">
                  <c:v>46268</c:v>
                </c:pt>
                <c:pt idx="8">
                  <c:v>46269</c:v>
                </c:pt>
                <c:pt idx="9">
                  <c:v>46270</c:v>
                </c:pt>
                <c:pt idx="10">
                  <c:v>46271</c:v>
                </c:pt>
                <c:pt idx="11">
                  <c:v>46272</c:v>
                </c:pt>
                <c:pt idx="12">
                  <c:v>46273</c:v>
                </c:pt>
                <c:pt idx="13">
                  <c:v>46274</c:v>
                </c:pt>
                <c:pt idx="14">
                  <c:v>46275</c:v>
                </c:pt>
                <c:pt idx="15">
                  <c:v>46276</c:v>
                </c:pt>
                <c:pt idx="16">
                  <c:v>46277</c:v>
                </c:pt>
                <c:pt idx="17">
                  <c:v>46278</c:v>
                </c:pt>
                <c:pt idx="18">
                  <c:v>46279</c:v>
                </c:pt>
                <c:pt idx="19">
                  <c:v>46280</c:v>
                </c:pt>
                <c:pt idx="20">
                  <c:v>46281</c:v>
                </c:pt>
                <c:pt idx="21">
                  <c:v>46282</c:v>
                </c:pt>
                <c:pt idx="22">
                  <c:v>46283</c:v>
                </c:pt>
                <c:pt idx="23">
                  <c:v>46284</c:v>
                </c:pt>
                <c:pt idx="24">
                  <c:v>46285</c:v>
                </c:pt>
                <c:pt idx="25">
                  <c:v>46286</c:v>
                </c:pt>
                <c:pt idx="26">
                  <c:v>46287</c:v>
                </c:pt>
                <c:pt idx="27">
                  <c:v>46288</c:v>
                </c:pt>
                <c:pt idx="28">
                  <c:v>46289</c:v>
                </c:pt>
                <c:pt idx="29">
                  <c:v>46290</c:v>
                </c:pt>
                <c:pt idx="30">
                  <c:v>46291</c:v>
                </c:pt>
                <c:pt idx="31">
                  <c:v>46292</c:v>
                </c:pt>
                <c:pt idx="32">
                  <c:v>46293</c:v>
                </c:pt>
                <c:pt idx="33">
                  <c:v>46294</c:v>
                </c:pt>
                <c:pt idx="34">
                  <c:v>46295</c:v>
                </c:pt>
                <c:pt idx="35">
                  <c:v>46296</c:v>
                </c:pt>
                <c:pt idx="36">
                  <c:v>46297</c:v>
                </c:pt>
                <c:pt idx="37">
                  <c:v>46298</c:v>
                </c:pt>
                <c:pt idx="38">
                  <c:v>46299</c:v>
                </c:pt>
                <c:pt idx="39">
                  <c:v>46300</c:v>
                </c:pt>
                <c:pt idx="40">
                  <c:v>46301</c:v>
                </c:pt>
                <c:pt idx="41">
                  <c:v>46302</c:v>
                </c:pt>
                <c:pt idx="42">
                  <c:v>46303</c:v>
                </c:pt>
                <c:pt idx="43">
                  <c:v>46304</c:v>
                </c:pt>
                <c:pt idx="44">
                  <c:v>46305</c:v>
                </c:pt>
              </c:numCache>
            </c:numRef>
          </c:cat>
          <c:val>
            <c:numRef>
              <c:f>Calc!$F$8:$F$52</c:f>
              <c:numCache>
                <c:formatCode>General</c:formatCode>
                <c:ptCount val="4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8-4E4B-915D-041C3767AA67}"/>
            </c:ext>
          </c:extLst>
        </c:ser>
        <c:ser>
          <c:idx val="1"/>
          <c:order val="1"/>
          <c:tx>
            <c:strRef>
              <c:f>Calc!$G$7</c:f>
              <c:strCache>
                <c:ptCount val="1"/>
                <c:pt idx="0">
                  <c:v>Seeker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Calc!$D$8:$D$52</c:f>
              <c:numCache>
                <c:formatCode>d/m</c:formatCode>
                <c:ptCount val="45"/>
                <c:pt idx="0">
                  <c:v>46261</c:v>
                </c:pt>
                <c:pt idx="1">
                  <c:v>46262</c:v>
                </c:pt>
                <c:pt idx="2">
                  <c:v>46263</c:v>
                </c:pt>
                <c:pt idx="3">
                  <c:v>46264</c:v>
                </c:pt>
                <c:pt idx="4">
                  <c:v>46265</c:v>
                </c:pt>
                <c:pt idx="5">
                  <c:v>46266</c:v>
                </c:pt>
                <c:pt idx="6">
                  <c:v>46267</c:v>
                </c:pt>
                <c:pt idx="7">
                  <c:v>46268</c:v>
                </c:pt>
                <c:pt idx="8">
                  <c:v>46269</c:v>
                </c:pt>
                <c:pt idx="9">
                  <c:v>46270</c:v>
                </c:pt>
                <c:pt idx="10">
                  <c:v>46271</c:v>
                </c:pt>
                <c:pt idx="11">
                  <c:v>46272</c:v>
                </c:pt>
                <c:pt idx="12">
                  <c:v>46273</c:v>
                </c:pt>
                <c:pt idx="13">
                  <c:v>46274</c:v>
                </c:pt>
                <c:pt idx="14">
                  <c:v>46275</c:v>
                </c:pt>
                <c:pt idx="15">
                  <c:v>46276</c:v>
                </c:pt>
                <c:pt idx="16">
                  <c:v>46277</c:v>
                </c:pt>
                <c:pt idx="17">
                  <c:v>46278</c:v>
                </c:pt>
                <c:pt idx="18">
                  <c:v>46279</c:v>
                </c:pt>
                <c:pt idx="19">
                  <c:v>46280</c:v>
                </c:pt>
                <c:pt idx="20">
                  <c:v>46281</c:v>
                </c:pt>
                <c:pt idx="21">
                  <c:v>46282</c:v>
                </c:pt>
                <c:pt idx="22">
                  <c:v>46283</c:v>
                </c:pt>
                <c:pt idx="23">
                  <c:v>46284</c:v>
                </c:pt>
                <c:pt idx="24">
                  <c:v>46285</c:v>
                </c:pt>
                <c:pt idx="25">
                  <c:v>46286</c:v>
                </c:pt>
                <c:pt idx="26">
                  <c:v>46287</c:v>
                </c:pt>
                <c:pt idx="27">
                  <c:v>46288</c:v>
                </c:pt>
                <c:pt idx="28">
                  <c:v>46289</c:v>
                </c:pt>
                <c:pt idx="29">
                  <c:v>46290</c:v>
                </c:pt>
                <c:pt idx="30">
                  <c:v>46291</c:v>
                </c:pt>
                <c:pt idx="31">
                  <c:v>46292</c:v>
                </c:pt>
                <c:pt idx="32">
                  <c:v>46293</c:v>
                </c:pt>
                <c:pt idx="33">
                  <c:v>46294</c:v>
                </c:pt>
                <c:pt idx="34">
                  <c:v>46295</c:v>
                </c:pt>
                <c:pt idx="35">
                  <c:v>46296</c:v>
                </c:pt>
                <c:pt idx="36">
                  <c:v>46297</c:v>
                </c:pt>
                <c:pt idx="37">
                  <c:v>46298</c:v>
                </c:pt>
                <c:pt idx="38">
                  <c:v>46299</c:v>
                </c:pt>
                <c:pt idx="39">
                  <c:v>46300</c:v>
                </c:pt>
                <c:pt idx="40">
                  <c:v>46301</c:v>
                </c:pt>
                <c:pt idx="41">
                  <c:v>46302</c:v>
                </c:pt>
                <c:pt idx="42">
                  <c:v>46303</c:v>
                </c:pt>
                <c:pt idx="43">
                  <c:v>46304</c:v>
                </c:pt>
                <c:pt idx="44">
                  <c:v>46305</c:v>
                </c:pt>
              </c:numCache>
            </c:numRef>
          </c:cat>
          <c:val>
            <c:numRef>
              <c:f>Calc!$G$8:$G$52</c:f>
              <c:numCache>
                <c:formatCode>General</c:formatCode>
                <c:ptCount val="4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18-4E4B-915D-041C3767AA67}"/>
            </c:ext>
          </c:extLst>
        </c:ser>
        <c:ser>
          <c:idx val="2"/>
          <c:order val="2"/>
          <c:tx>
            <c:strRef>
              <c:f>Calc!$H$7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Calc!$D$8:$D$52</c:f>
              <c:numCache>
                <c:formatCode>d/m</c:formatCode>
                <c:ptCount val="45"/>
                <c:pt idx="0">
                  <c:v>46261</c:v>
                </c:pt>
                <c:pt idx="1">
                  <c:v>46262</c:v>
                </c:pt>
                <c:pt idx="2">
                  <c:v>46263</c:v>
                </c:pt>
                <c:pt idx="3">
                  <c:v>46264</c:v>
                </c:pt>
                <c:pt idx="4">
                  <c:v>46265</c:v>
                </c:pt>
                <c:pt idx="5">
                  <c:v>46266</c:v>
                </c:pt>
                <c:pt idx="6">
                  <c:v>46267</c:v>
                </c:pt>
                <c:pt idx="7">
                  <c:v>46268</c:v>
                </c:pt>
                <c:pt idx="8">
                  <c:v>46269</c:v>
                </c:pt>
                <c:pt idx="9">
                  <c:v>46270</c:v>
                </c:pt>
                <c:pt idx="10">
                  <c:v>46271</c:v>
                </c:pt>
                <c:pt idx="11">
                  <c:v>46272</c:v>
                </c:pt>
                <c:pt idx="12">
                  <c:v>46273</c:v>
                </c:pt>
                <c:pt idx="13">
                  <c:v>46274</c:v>
                </c:pt>
                <c:pt idx="14">
                  <c:v>46275</c:v>
                </c:pt>
                <c:pt idx="15">
                  <c:v>46276</c:v>
                </c:pt>
                <c:pt idx="16">
                  <c:v>46277</c:v>
                </c:pt>
                <c:pt idx="17">
                  <c:v>46278</c:v>
                </c:pt>
                <c:pt idx="18">
                  <c:v>46279</c:v>
                </c:pt>
                <c:pt idx="19">
                  <c:v>46280</c:v>
                </c:pt>
                <c:pt idx="20">
                  <c:v>46281</c:v>
                </c:pt>
                <c:pt idx="21">
                  <c:v>46282</c:v>
                </c:pt>
                <c:pt idx="22">
                  <c:v>46283</c:v>
                </c:pt>
                <c:pt idx="23">
                  <c:v>46284</c:v>
                </c:pt>
                <c:pt idx="24">
                  <c:v>46285</c:v>
                </c:pt>
                <c:pt idx="25">
                  <c:v>46286</c:v>
                </c:pt>
                <c:pt idx="26">
                  <c:v>46287</c:v>
                </c:pt>
                <c:pt idx="27">
                  <c:v>46288</c:v>
                </c:pt>
                <c:pt idx="28">
                  <c:v>46289</c:v>
                </c:pt>
                <c:pt idx="29">
                  <c:v>46290</c:v>
                </c:pt>
                <c:pt idx="30">
                  <c:v>46291</c:v>
                </c:pt>
                <c:pt idx="31">
                  <c:v>46292</c:v>
                </c:pt>
                <c:pt idx="32">
                  <c:v>46293</c:v>
                </c:pt>
                <c:pt idx="33">
                  <c:v>46294</c:v>
                </c:pt>
                <c:pt idx="34">
                  <c:v>46295</c:v>
                </c:pt>
                <c:pt idx="35">
                  <c:v>46296</c:v>
                </c:pt>
                <c:pt idx="36">
                  <c:v>46297</c:v>
                </c:pt>
                <c:pt idx="37">
                  <c:v>46298</c:v>
                </c:pt>
                <c:pt idx="38">
                  <c:v>46299</c:v>
                </c:pt>
                <c:pt idx="39">
                  <c:v>46300</c:v>
                </c:pt>
                <c:pt idx="40">
                  <c:v>46301</c:v>
                </c:pt>
                <c:pt idx="41">
                  <c:v>46302</c:v>
                </c:pt>
                <c:pt idx="42">
                  <c:v>46303</c:v>
                </c:pt>
                <c:pt idx="43">
                  <c:v>46304</c:v>
                </c:pt>
                <c:pt idx="44">
                  <c:v>46305</c:v>
                </c:pt>
              </c:numCache>
            </c:numRef>
          </c:cat>
          <c:val>
            <c:numRef>
              <c:f>Calc!$H$8:$H$52</c:f>
              <c:numCache>
                <c:formatCode>General</c:formatCode>
                <c:ptCount val="4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18-4E4B-915D-041C3767A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431252"/>
        <c:axId val="89359741"/>
      </c:barChart>
      <c:dateAx>
        <c:axId val="28431252"/>
        <c:scaling>
          <c:orientation val="minMax"/>
        </c:scaling>
        <c:delete val="0"/>
        <c:axPos val="b"/>
        <c:numFmt formatCode="d/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359741"/>
        <c:crosses val="autoZero"/>
        <c:auto val="1"/>
        <c:lblOffset val="100"/>
        <c:baseTimeUnit val="days"/>
      </c:dateAx>
      <c:valAx>
        <c:axId val="89359741"/>
        <c:scaling>
          <c:orientation val="minMax"/>
        </c:scaling>
        <c:delete val="0"/>
        <c:axPos val="l"/>
        <c:majorGridlines>
          <c:spPr>
            <a:ln w="9360">
              <a:solidFill>
                <a:schemeClr val="accent1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4312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6</xdr:col>
      <xdr:colOff>640080</xdr:colOff>
      <xdr:row>29</xdr:row>
      <xdr:rowOff>1080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12</xdr:row>
      <xdr:rowOff>0</xdr:rowOff>
    </xdr:from>
    <xdr:to>
      <xdr:col>12</xdr:col>
      <xdr:colOff>640440</xdr:colOff>
      <xdr:row>29</xdr:row>
      <xdr:rowOff>1080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6</xdr:col>
      <xdr:colOff>640080</xdr:colOff>
      <xdr:row>47</xdr:row>
      <xdr:rowOff>1080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30</xdr:row>
      <xdr:rowOff>0</xdr:rowOff>
    </xdr:from>
    <xdr:to>
      <xdr:col>12</xdr:col>
      <xdr:colOff>640440</xdr:colOff>
      <xdr:row>47</xdr:row>
      <xdr:rowOff>1080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wData" displayName="RawData" ref="B1:I11" totalsRowShown="0">
  <autoFilter ref="B1:I11"/>
  <tableColumns count="8">
    <tableColumn id="1" name="ID"/>
    <tableColumn id="2" name="Name"/>
    <tableColumn id="3" name="Email"/>
    <tableColumn id="4" name="Password"/>
    <tableColumn id="5" name="Role"/>
    <tableColumn id="6" name="Status"/>
    <tableColumn id="7" name="Created_at"/>
    <tableColumn id="8" name="Email_domai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1" sqref="F11"/>
    </sheetView>
  </sheetViews>
  <sheetFormatPr defaultColWidth="8.6640625" defaultRowHeight="14.4" x14ac:dyDescent="0.3"/>
  <cols>
    <col min="1" max="1" width="3" customWidth="1"/>
    <col min="2" max="2" width="6" customWidth="1"/>
    <col min="3" max="3" width="20" customWidth="1"/>
    <col min="4" max="4" width="30" customWidth="1"/>
    <col min="5" max="6" width="10" customWidth="1"/>
    <col min="7" max="7" width="9" customWidth="1"/>
    <col min="8" max="8" width="20" customWidth="1"/>
    <col min="9" max="9" width="14" customWidth="1"/>
  </cols>
  <sheetData>
    <row r="1" spans="2:9" x14ac:dyDescent="0.3"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</row>
    <row r="2" spans="2:9" x14ac:dyDescent="0.3">
      <c r="B2" s="16">
        <v>1</v>
      </c>
      <c r="C2" s="17" t="s">
        <v>8</v>
      </c>
      <c r="D2" s="17" t="s">
        <v>9</v>
      </c>
      <c r="E2" s="16" t="s">
        <v>10</v>
      </c>
      <c r="F2" s="16" t="s">
        <v>11</v>
      </c>
      <c r="G2" s="16" t="s">
        <v>12</v>
      </c>
      <c r="H2" s="18">
        <v>46261.833749999998</v>
      </c>
      <c r="I2" s="16" t="str">
        <f t="shared" ref="I2:I11" si="0">IFERROR(MID(D2,FIND("@",D2)+1,50),"")</f>
        <v>gmail.com</v>
      </c>
    </row>
    <row r="3" spans="2:9" x14ac:dyDescent="0.3">
      <c r="B3" s="16">
        <v>2</v>
      </c>
      <c r="C3" s="17" t="s">
        <v>8</v>
      </c>
      <c r="D3" s="17" t="s">
        <v>9</v>
      </c>
      <c r="E3" s="16" t="s">
        <v>10</v>
      </c>
      <c r="F3" s="16" t="s">
        <v>13</v>
      </c>
      <c r="G3" s="16" t="s">
        <v>12</v>
      </c>
      <c r="H3" s="18">
        <v>46261.836539351898</v>
      </c>
      <c r="I3" s="16" t="str">
        <f t="shared" si="0"/>
        <v>gmail.com</v>
      </c>
    </row>
    <row r="4" spans="2:9" x14ac:dyDescent="0.3">
      <c r="B4" s="16">
        <v>3</v>
      </c>
      <c r="C4" s="17" t="s">
        <v>14</v>
      </c>
      <c r="D4" s="17" t="s">
        <v>15</v>
      </c>
      <c r="E4" s="16" t="s">
        <v>10</v>
      </c>
      <c r="F4" s="16" t="s">
        <v>16</v>
      </c>
      <c r="G4" s="16" t="s">
        <v>12</v>
      </c>
      <c r="H4" s="18">
        <v>46261.8897222222</v>
      </c>
      <c r="I4" s="16" t="str">
        <f t="shared" si="0"/>
        <v>engineerhub.com</v>
      </c>
    </row>
    <row r="5" spans="2:9" x14ac:dyDescent="0.3">
      <c r="B5" s="16">
        <v>5</v>
      </c>
      <c r="C5" s="17" t="s">
        <v>17</v>
      </c>
      <c r="D5" s="17" t="s">
        <v>18</v>
      </c>
      <c r="E5" s="16" t="s">
        <v>10</v>
      </c>
      <c r="F5" s="16" t="s">
        <v>13</v>
      </c>
      <c r="G5" s="16" t="s">
        <v>12</v>
      </c>
      <c r="H5" s="18">
        <v>46263.939733796302</v>
      </c>
      <c r="I5" s="16" t="str">
        <f t="shared" si="0"/>
        <v>gmail.com</v>
      </c>
    </row>
    <row r="6" spans="2:9" x14ac:dyDescent="0.3">
      <c r="B6" s="16">
        <v>7</v>
      </c>
      <c r="C6" s="17" t="s">
        <v>19</v>
      </c>
      <c r="D6" s="17" t="s">
        <v>20</v>
      </c>
      <c r="E6" s="16" t="s">
        <v>10</v>
      </c>
      <c r="F6" s="16" t="s">
        <v>13</v>
      </c>
      <c r="G6" s="16" t="s">
        <v>12</v>
      </c>
      <c r="H6" s="18">
        <v>46264.795543981498</v>
      </c>
      <c r="I6" s="16" t="str">
        <f t="shared" si="0"/>
        <v>gmail.com</v>
      </c>
    </row>
    <row r="7" spans="2:9" x14ac:dyDescent="0.3">
      <c r="B7" s="16">
        <v>9</v>
      </c>
      <c r="C7" s="17" t="s">
        <v>21</v>
      </c>
      <c r="D7" s="17" t="s">
        <v>22</v>
      </c>
      <c r="E7" s="16" t="s">
        <v>10</v>
      </c>
      <c r="F7" s="16" t="s">
        <v>11</v>
      </c>
      <c r="G7" s="16" t="s">
        <v>12</v>
      </c>
      <c r="H7" s="18">
        <v>46267.239305555602</v>
      </c>
      <c r="I7" s="16" t="str">
        <f t="shared" si="0"/>
        <v>gamil.com</v>
      </c>
    </row>
    <row r="8" spans="2:9" x14ac:dyDescent="0.3">
      <c r="B8" s="16">
        <v>12</v>
      </c>
      <c r="C8" s="17" t="s">
        <v>23</v>
      </c>
      <c r="D8" s="17" t="s">
        <v>24</v>
      </c>
      <c r="E8" s="16" t="s">
        <v>10</v>
      </c>
      <c r="F8" s="16" t="s">
        <v>13</v>
      </c>
      <c r="G8" s="16" t="s">
        <v>12</v>
      </c>
      <c r="H8" s="18">
        <v>46267.251412037003</v>
      </c>
      <c r="I8" s="16" t="str">
        <f t="shared" si="0"/>
        <v>gmail.com</v>
      </c>
    </row>
    <row r="9" spans="2:9" x14ac:dyDescent="0.3">
      <c r="B9" s="16">
        <v>13</v>
      </c>
      <c r="C9" s="17" t="s">
        <v>25</v>
      </c>
      <c r="D9" s="17" t="s">
        <v>26</v>
      </c>
      <c r="E9" s="16" t="s">
        <v>10</v>
      </c>
      <c r="F9" s="16" t="s">
        <v>13</v>
      </c>
      <c r="G9" s="16" t="s">
        <v>12</v>
      </c>
      <c r="H9" s="18">
        <v>46267.461909722202</v>
      </c>
      <c r="I9" s="16" t="str">
        <f t="shared" si="0"/>
        <v>gamil.com</v>
      </c>
    </row>
    <row r="10" spans="2:9" x14ac:dyDescent="0.3">
      <c r="B10" s="16">
        <v>15</v>
      </c>
      <c r="C10" s="17" t="s">
        <v>27</v>
      </c>
      <c r="D10" s="17" t="s">
        <v>28</v>
      </c>
      <c r="E10" s="16" t="s">
        <v>10</v>
      </c>
      <c r="F10" s="16" t="s">
        <v>11</v>
      </c>
      <c r="G10" s="16" t="s">
        <v>12</v>
      </c>
      <c r="H10" s="18">
        <v>46267.589814814797</v>
      </c>
      <c r="I10" s="16" t="str">
        <f t="shared" si="0"/>
        <v>gmail.com</v>
      </c>
    </row>
    <row r="11" spans="2:9" x14ac:dyDescent="0.3">
      <c r="B11" s="16"/>
      <c r="C11" s="16"/>
      <c r="D11" s="16"/>
      <c r="E11" s="16"/>
      <c r="F11" s="16"/>
      <c r="G11" s="16"/>
      <c r="H11" s="16"/>
      <c r="I11" s="16"/>
    </row>
    <row r="13" spans="2:9" x14ac:dyDescent="0.3">
      <c r="B13" s="19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1"/>
  <sheetViews>
    <sheetView tabSelected="1" topLeftCell="A2" zoomScaleNormal="100" workbookViewId="0">
      <selection activeCell="O3" sqref="O3"/>
    </sheetView>
  </sheetViews>
  <sheetFormatPr defaultColWidth="8.6640625" defaultRowHeight="14.4" x14ac:dyDescent="0.3"/>
  <cols>
    <col min="1" max="1" width="3" customWidth="1"/>
    <col min="2" max="13" width="13.44140625" customWidth="1"/>
    <col min="14" max="14" width="3" customWidth="1"/>
  </cols>
  <sheetData>
    <row r="2" spans="2:13" ht="24" customHeight="1" x14ac:dyDescent="0.3">
      <c r="B2" s="14" t="s">
        <v>29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2:13" ht="24" customHeight="1" x14ac:dyDescent="0.3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2:13" ht="18" customHeight="1" x14ac:dyDescent="0.3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6" spans="2:13" ht="18" customHeight="1" x14ac:dyDescent="0.3">
      <c r="B6" s="12" t="s">
        <v>30</v>
      </c>
      <c r="C6" s="12"/>
      <c r="D6" s="11" t="s">
        <v>31</v>
      </c>
      <c r="E6" s="11"/>
      <c r="F6" s="10" t="s">
        <v>32</v>
      </c>
      <c r="G6" s="10"/>
      <c r="H6" s="9" t="s">
        <v>33</v>
      </c>
      <c r="I6" s="9"/>
      <c r="J6" s="8" t="s">
        <v>34</v>
      </c>
      <c r="K6" s="8"/>
      <c r="L6" s="7" t="s">
        <v>35</v>
      </c>
      <c r="M6" s="7"/>
    </row>
    <row r="7" spans="2:13" ht="13.5" customHeight="1" x14ac:dyDescent="0.3">
      <c r="B7" s="6">
        <f>COUNTA(RawData[ID])</f>
        <v>9</v>
      </c>
      <c r="C7" s="6"/>
      <c r="D7" s="5">
        <f>COUNTIF(RawData[Role],"engineer")</f>
        <v>3</v>
      </c>
      <c r="E7" s="5"/>
      <c r="F7" s="4">
        <f>COUNTIF(RawData[Role],"seeker")</f>
        <v>5</v>
      </c>
      <c r="G7" s="4"/>
      <c r="H7" s="3">
        <f>COUNTIF(RawData[Role],"admin")</f>
        <v>1</v>
      </c>
      <c r="I7" s="3"/>
      <c r="J7" s="2">
        <f>COUNTIF(RawData[Status],"active")</f>
        <v>9</v>
      </c>
      <c r="K7" s="2"/>
      <c r="L7" s="1" t="str">
        <f>TEXT(MAX(RawData[Created_at]),"dd-mmm-yyyy")</f>
        <v>02-Sep-2026</v>
      </c>
      <c r="M7" s="1"/>
    </row>
    <row r="8" spans="2:13" ht="13.5" customHeight="1" x14ac:dyDescent="0.3">
      <c r="B8" s="6"/>
      <c r="C8" s="6"/>
      <c r="D8" s="5"/>
      <c r="E8" s="5"/>
      <c r="F8" s="4"/>
      <c r="G8" s="4"/>
      <c r="H8" s="3"/>
      <c r="I8" s="3"/>
      <c r="J8" s="2"/>
      <c r="K8" s="2"/>
      <c r="L8" s="1"/>
      <c r="M8" s="1"/>
    </row>
    <row r="9" spans="2:13" ht="13.5" customHeight="1" x14ac:dyDescent="0.3">
      <c r="B9" s="6"/>
      <c r="C9" s="6"/>
      <c r="D9" s="5"/>
      <c r="E9" s="5"/>
      <c r="F9" s="4"/>
      <c r="G9" s="4"/>
      <c r="H9" s="3"/>
      <c r="I9" s="3"/>
      <c r="J9" s="2"/>
      <c r="K9" s="2"/>
      <c r="L9" s="1"/>
      <c r="M9" s="1"/>
    </row>
    <row r="10" spans="2:13" ht="15.75" customHeight="1" x14ac:dyDescent="0.3">
      <c r="B10" s="24" t="s">
        <v>36</v>
      </c>
      <c r="C10" s="24"/>
      <c r="D10" s="24" t="str">
        <f>TEXT(COUNTIF(RawData[Role],"engineer")/COUNTA(RawData[ID]),"0.0%")&amp;" of total"</f>
        <v>33.3% of total</v>
      </c>
      <c r="E10" s="24"/>
      <c r="F10" s="24" t="str">
        <f>TEXT(COUNTIF(RawData[Role],"seeker")/COUNTA(RawData[ID]),"0.0%")&amp;" of total"</f>
        <v>55.6% of total</v>
      </c>
      <c r="G10" s="24"/>
      <c r="H10" s="24" t="str">
        <f>TEXT(COUNTIF(RawData[Role],"admin")/COUNTA(RawData[ID]),"0.0%")&amp;" of total"</f>
        <v>11.1% of total</v>
      </c>
      <c r="I10" s="24"/>
      <c r="J10" s="24" t="str">
        <f>TEXT(COUNTIF(RawData[Status],"active")/COUNTA(RawData[ID]),"0.0%")&amp;" of total"</f>
        <v>100.0% of total</v>
      </c>
      <c r="K10" s="24"/>
      <c r="L10" s="24" t="str">
        <f>"First: "&amp;TEXT(MIN(RawData[Created_at]),"dd-mmm-yyyy")</f>
        <v>First: 27-Aug-2026</v>
      </c>
      <c r="M10" s="24"/>
    </row>
    <row r="11" spans="2:13" ht="7.5" customHeight="1" x14ac:dyDescent="0.3"/>
  </sheetData>
  <mergeCells count="20">
    <mergeCell ref="L7:M9"/>
    <mergeCell ref="B10:C10"/>
    <mergeCell ref="D10:E10"/>
    <mergeCell ref="F10:G10"/>
    <mergeCell ref="H10:I10"/>
    <mergeCell ref="J10:K10"/>
    <mergeCell ref="L10:M10"/>
    <mergeCell ref="B7:C9"/>
    <mergeCell ref="D7:E9"/>
    <mergeCell ref="F7:G9"/>
    <mergeCell ref="H7:I9"/>
    <mergeCell ref="J7:K9"/>
    <mergeCell ref="B2:M3"/>
    <mergeCell ref="B4:M4"/>
    <mergeCell ref="B6:C6"/>
    <mergeCell ref="D6:E6"/>
    <mergeCell ref="F6:G6"/>
    <mergeCell ref="H6:I6"/>
    <mergeCell ref="J6:K6"/>
    <mergeCell ref="L6:M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zoomScaleNormal="100" workbookViewId="0"/>
  </sheetViews>
  <sheetFormatPr defaultColWidth="8.6640625" defaultRowHeight="14.4" x14ac:dyDescent="0.3"/>
  <sheetData>
    <row r="1" spans="1:9" x14ac:dyDescent="0.3">
      <c r="A1" s="20" t="s">
        <v>37</v>
      </c>
    </row>
    <row r="2" spans="1:9" x14ac:dyDescent="0.3">
      <c r="A2" s="21" t="s">
        <v>4</v>
      </c>
      <c r="B2" s="21" t="s">
        <v>38</v>
      </c>
    </row>
    <row r="3" spans="1:9" x14ac:dyDescent="0.3">
      <c r="A3" s="21" t="s">
        <v>39</v>
      </c>
      <c r="B3" s="21">
        <f>COUNTIF(RawData[Role],"engineer")</f>
        <v>3</v>
      </c>
    </row>
    <row r="4" spans="1:9" x14ac:dyDescent="0.3">
      <c r="A4" s="21" t="s">
        <v>40</v>
      </c>
      <c r="B4" s="21">
        <f>COUNTIF(RawData[Role],"seeker")</f>
        <v>5</v>
      </c>
    </row>
    <row r="5" spans="1:9" x14ac:dyDescent="0.3">
      <c r="A5" s="21" t="s">
        <v>41</v>
      </c>
      <c r="B5" s="21">
        <f>COUNTIF(RawData[Role],"admin")</f>
        <v>1</v>
      </c>
    </row>
    <row r="7" spans="1:9" x14ac:dyDescent="0.3">
      <c r="D7" s="20" t="s">
        <v>42</v>
      </c>
      <c r="E7" s="20" t="s">
        <v>43</v>
      </c>
      <c r="F7" s="20" t="s">
        <v>39</v>
      </c>
      <c r="G7" s="20" t="s">
        <v>40</v>
      </c>
      <c r="H7" s="20" t="s">
        <v>41</v>
      </c>
      <c r="I7" s="20" t="s">
        <v>44</v>
      </c>
    </row>
    <row r="8" spans="1:9" x14ac:dyDescent="0.3">
      <c r="D8" s="22">
        <f>INT(MIN(RawData[Created_at]))</f>
        <v>46261</v>
      </c>
      <c r="E8" s="23">
        <f>COUNTIFS(RawData[Created_at],"&gt;="&amp;D8,RawData[Created_at],"&lt;"&amp;D8+1)</f>
        <v>3</v>
      </c>
      <c r="F8" s="23">
        <f>COUNTIFS(RawData[Role],"engineer",RawData[Created_at],"&gt;="&amp;D8,RawData[Created_at],"&lt;"&amp;D8+1)</f>
        <v>1</v>
      </c>
      <c r="G8" s="23">
        <f>COUNTIFS(RawData[Role],"seeker",RawData[Created_at],"&gt;="&amp;D8,RawData[Created_at],"&lt;"&amp;D8+1)</f>
        <v>1</v>
      </c>
      <c r="H8" s="23">
        <f>COUNTIFS(RawData[Role],"admin",RawData[Created_at],"&gt;="&amp;D8,RawData[Created_at],"&lt;"&amp;D8+1)</f>
        <v>1</v>
      </c>
      <c r="I8" s="23">
        <f>E8</f>
        <v>3</v>
      </c>
    </row>
    <row r="9" spans="1:9" x14ac:dyDescent="0.3">
      <c r="D9" s="22">
        <f t="shared" ref="D9:D52" si="0">D8+1</f>
        <v>46262</v>
      </c>
      <c r="E9" s="23">
        <f>COUNTIFS(RawData[Created_at],"&gt;="&amp;D9,RawData[Created_at],"&lt;"&amp;D9+1)</f>
        <v>0</v>
      </c>
      <c r="F9" s="23">
        <f>COUNTIFS(RawData[Role],"engineer",RawData[Created_at],"&gt;="&amp;D9,RawData[Created_at],"&lt;"&amp;D9+1)</f>
        <v>0</v>
      </c>
      <c r="G9" s="23">
        <f>COUNTIFS(RawData[Role],"seeker",RawData[Created_at],"&gt;="&amp;D9,RawData[Created_at],"&lt;"&amp;D9+1)</f>
        <v>0</v>
      </c>
      <c r="H9" s="23">
        <f>COUNTIFS(RawData[Role],"admin",RawData[Created_at],"&gt;="&amp;D9,RawData[Created_at],"&lt;"&amp;D9+1)</f>
        <v>0</v>
      </c>
      <c r="I9" s="23">
        <f t="shared" ref="I9:I52" si="1">I8+E9</f>
        <v>3</v>
      </c>
    </row>
    <row r="10" spans="1:9" x14ac:dyDescent="0.3">
      <c r="D10" s="22">
        <f t="shared" si="0"/>
        <v>46263</v>
      </c>
      <c r="E10" s="23">
        <f>COUNTIFS(RawData[Created_at],"&gt;="&amp;D10,RawData[Created_at],"&lt;"&amp;D10+1)</f>
        <v>1</v>
      </c>
      <c r="F10" s="23">
        <f>COUNTIFS(RawData[Role],"engineer",RawData[Created_at],"&gt;="&amp;D10,RawData[Created_at],"&lt;"&amp;D10+1)</f>
        <v>0</v>
      </c>
      <c r="G10" s="23">
        <f>COUNTIFS(RawData[Role],"seeker",RawData[Created_at],"&gt;="&amp;D10,RawData[Created_at],"&lt;"&amp;D10+1)</f>
        <v>1</v>
      </c>
      <c r="H10" s="23">
        <f>COUNTIFS(RawData[Role],"admin",RawData[Created_at],"&gt;="&amp;D10,RawData[Created_at],"&lt;"&amp;D10+1)</f>
        <v>0</v>
      </c>
      <c r="I10" s="23">
        <f t="shared" si="1"/>
        <v>4</v>
      </c>
    </row>
    <row r="11" spans="1:9" x14ac:dyDescent="0.3">
      <c r="D11" s="22">
        <f t="shared" si="0"/>
        <v>46264</v>
      </c>
      <c r="E11" s="23">
        <f>COUNTIFS(RawData[Created_at],"&gt;="&amp;D11,RawData[Created_at],"&lt;"&amp;D11+1)</f>
        <v>1</v>
      </c>
      <c r="F11" s="23">
        <f>COUNTIFS(RawData[Role],"engineer",RawData[Created_at],"&gt;="&amp;D11,RawData[Created_at],"&lt;"&amp;D11+1)</f>
        <v>0</v>
      </c>
      <c r="G11" s="23">
        <f>COUNTIFS(RawData[Role],"seeker",RawData[Created_at],"&gt;="&amp;D11,RawData[Created_at],"&lt;"&amp;D11+1)</f>
        <v>1</v>
      </c>
      <c r="H11" s="23">
        <f>COUNTIFS(RawData[Role],"admin",RawData[Created_at],"&gt;="&amp;D11,RawData[Created_at],"&lt;"&amp;D11+1)</f>
        <v>0</v>
      </c>
      <c r="I11" s="23">
        <f t="shared" si="1"/>
        <v>5</v>
      </c>
    </row>
    <row r="12" spans="1:9" x14ac:dyDescent="0.3">
      <c r="D12" s="22">
        <f t="shared" si="0"/>
        <v>46265</v>
      </c>
      <c r="E12" s="23">
        <f>COUNTIFS(RawData[Created_at],"&gt;="&amp;D12,RawData[Created_at],"&lt;"&amp;D12+1)</f>
        <v>0</v>
      </c>
      <c r="F12" s="23">
        <f>COUNTIFS(RawData[Role],"engineer",RawData[Created_at],"&gt;="&amp;D12,RawData[Created_at],"&lt;"&amp;D12+1)</f>
        <v>0</v>
      </c>
      <c r="G12" s="23">
        <f>COUNTIFS(RawData[Role],"seeker",RawData[Created_at],"&gt;="&amp;D12,RawData[Created_at],"&lt;"&amp;D12+1)</f>
        <v>0</v>
      </c>
      <c r="H12" s="23">
        <f>COUNTIFS(RawData[Role],"admin",RawData[Created_at],"&gt;="&amp;D12,RawData[Created_at],"&lt;"&amp;D12+1)</f>
        <v>0</v>
      </c>
      <c r="I12" s="23">
        <f t="shared" si="1"/>
        <v>5</v>
      </c>
    </row>
    <row r="13" spans="1:9" x14ac:dyDescent="0.3">
      <c r="D13" s="22">
        <f t="shared" si="0"/>
        <v>46266</v>
      </c>
      <c r="E13" s="23">
        <f>COUNTIFS(RawData[Created_at],"&gt;="&amp;D13,RawData[Created_at],"&lt;"&amp;D13+1)</f>
        <v>0</v>
      </c>
      <c r="F13" s="23">
        <f>COUNTIFS(RawData[Role],"engineer",RawData[Created_at],"&gt;="&amp;D13,RawData[Created_at],"&lt;"&amp;D13+1)</f>
        <v>0</v>
      </c>
      <c r="G13" s="23">
        <f>COUNTIFS(RawData[Role],"seeker",RawData[Created_at],"&gt;="&amp;D13,RawData[Created_at],"&lt;"&amp;D13+1)</f>
        <v>0</v>
      </c>
      <c r="H13" s="23">
        <f>COUNTIFS(RawData[Role],"admin",RawData[Created_at],"&gt;="&amp;D13,RawData[Created_at],"&lt;"&amp;D13+1)</f>
        <v>0</v>
      </c>
      <c r="I13" s="23">
        <f t="shared" si="1"/>
        <v>5</v>
      </c>
    </row>
    <row r="14" spans="1:9" x14ac:dyDescent="0.3">
      <c r="D14" s="22">
        <f t="shared" si="0"/>
        <v>46267</v>
      </c>
      <c r="E14" s="23">
        <f>COUNTIFS(RawData[Created_at],"&gt;="&amp;D14,RawData[Created_at],"&lt;"&amp;D14+1)</f>
        <v>4</v>
      </c>
      <c r="F14" s="23">
        <f>COUNTIFS(RawData[Role],"engineer",RawData[Created_at],"&gt;="&amp;D14,RawData[Created_at],"&lt;"&amp;D14+1)</f>
        <v>2</v>
      </c>
      <c r="G14" s="23">
        <f>COUNTIFS(RawData[Role],"seeker",RawData[Created_at],"&gt;="&amp;D14,RawData[Created_at],"&lt;"&amp;D14+1)</f>
        <v>2</v>
      </c>
      <c r="H14" s="23">
        <f>COUNTIFS(RawData[Role],"admin",RawData[Created_at],"&gt;="&amp;D14,RawData[Created_at],"&lt;"&amp;D14+1)</f>
        <v>0</v>
      </c>
      <c r="I14" s="23">
        <f t="shared" si="1"/>
        <v>9</v>
      </c>
    </row>
    <row r="15" spans="1:9" x14ac:dyDescent="0.3">
      <c r="D15" s="22">
        <f t="shared" si="0"/>
        <v>46268</v>
      </c>
      <c r="E15" s="23">
        <f>COUNTIFS(RawData[Created_at],"&gt;="&amp;D15,RawData[Created_at],"&lt;"&amp;D15+1)</f>
        <v>0</v>
      </c>
      <c r="F15" s="23">
        <f>COUNTIFS(RawData[Role],"engineer",RawData[Created_at],"&gt;="&amp;D15,RawData[Created_at],"&lt;"&amp;D15+1)</f>
        <v>0</v>
      </c>
      <c r="G15" s="23">
        <f>COUNTIFS(RawData[Role],"seeker",RawData[Created_at],"&gt;="&amp;D15,RawData[Created_at],"&lt;"&amp;D15+1)</f>
        <v>0</v>
      </c>
      <c r="H15" s="23">
        <f>COUNTIFS(RawData[Role],"admin",RawData[Created_at],"&gt;="&amp;D15,RawData[Created_at],"&lt;"&amp;D15+1)</f>
        <v>0</v>
      </c>
      <c r="I15" s="23">
        <f t="shared" si="1"/>
        <v>9</v>
      </c>
    </row>
    <row r="16" spans="1:9" x14ac:dyDescent="0.3">
      <c r="D16" s="22">
        <f t="shared" si="0"/>
        <v>46269</v>
      </c>
      <c r="E16" s="23">
        <f>COUNTIFS(RawData[Created_at],"&gt;="&amp;D16,RawData[Created_at],"&lt;"&amp;D16+1)</f>
        <v>0</v>
      </c>
      <c r="F16" s="23">
        <f>COUNTIFS(RawData[Role],"engineer",RawData[Created_at],"&gt;="&amp;D16,RawData[Created_at],"&lt;"&amp;D16+1)</f>
        <v>0</v>
      </c>
      <c r="G16" s="23">
        <f>COUNTIFS(RawData[Role],"seeker",RawData[Created_at],"&gt;="&amp;D16,RawData[Created_at],"&lt;"&amp;D16+1)</f>
        <v>0</v>
      </c>
      <c r="H16" s="23">
        <f>COUNTIFS(RawData[Role],"admin",RawData[Created_at],"&gt;="&amp;D16,RawData[Created_at],"&lt;"&amp;D16+1)</f>
        <v>0</v>
      </c>
      <c r="I16" s="23">
        <f t="shared" si="1"/>
        <v>9</v>
      </c>
    </row>
    <row r="17" spans="4:9" x14ac:dyDescent="0.3">
      <c r="D17" s="22">
        <f t="shared" si="0"/>
        <v>46270</v>
      </c>
      <c r="E17" s="23">
        <f>COUNTIFS(RawData[Created_at],"&gt;="&amp;D17,RawData[Created_at],"&lt;"&amp;D17+1)</f>
        <v>0</v>
      </c>
      <c r="F17" s="23">
        <f>COUNTIFS(RawData[Role],"engineer",RawData[Created_at],"&gt;="&amp;D17,RawData[Created_at],"&lt;"&amp;D17+1)</f>
        <v>0</v>
      </c>
      <c r="G17" s="23">
        <f>COUNTIFS(RawData[Role],"seeker",RawData[Created_at],"&gt;="&amp;D17,RawData[Created_at],"&lt;"&amp;D17+1)</f>
        <v>0</v>
      </c>
      <c r="H17" s="23">
        <f>COUNTIFS(RawData[Role],"admin",RawData[Created_at],"&gt;="&amp;D17,RawData[Created_at],"&lt;"&amp;D17+1)</f>
        <v>0</v>
      </c>
      <c r="I17" s="23">
        <f t="shared" si="1"/>
        <v>9</v>
      </c>
    </row>
    <row r="18" spans="4:9" x14ac:dyDescent="0.3">
      <c r="D18" s="22">
        <f t="shared" si="0"/>
        <v>46271</v>
      </c>
      <c r="E18" s="23">
        <f>COUNTIFS(RawData[Created_at],"&gt;="&amp;D18,RawData[Created_at],"&lt;"&amp;D18+1)</f>
        <v>0</v>
      </c>
      <c r="F18" s="23">
        <f>COUNTIFS(RawData[Role],"engineer",RawData[Created_at],"&gt;="&amp;D18,RawData[Created_at],"&lt;"&amp;D18+1)</f>
        <v>0</v>
      </c>
      <c r="G18" s="23">
        <f>COUNTIFS(RawData[Role],"seeker",RawData[Created_at],"&gt;="&amp;D18,RawData[Created_at],"&lt;"&amp;D18+1)</f>
        <v>0</v>
      </c>
      <c r="H18" s="23">
        <f>COUNTIFS(RawData[Role],"admin",RawData[Created_at],"&gt;="&amp;D18,RawData[Created_at],"&lt;"&amp;D18+1)</f>
        <v>0</v>
      </c>
      <c r="I18" s="23">
        <f t="shared" si="1"/>
        <v>9</v>
      </c>
    </row>
    <row r="19" spans="4:9" x14ac:dyDescent="0.3">
      <c r="D19" s="22">
        <f t="shared" si="0"/>
        <v>46272</v>
      </c>
      <c r="E19" s="23">
        <f>COUNTIFS(RawData[Created_at],"&gt;="&amp;D19,RawData[Created_at],"&lt;"&amp;D19+1)</f>
        <v>0</v>
      </c>
      <c r="F19" s="23">
        <f>COUNTIFS(RawData[Role],"engineer",RawData[Created_at],"&gt;="&amp;D19,RawData[Created_at],"&lt;"&amp;D19+1)</f>
        <v>0</v>
      </c>
      <c r="G19" s="23">
        <f>COUNTIFS(RawData[Role],"seeker",RawData[Created_at],"&gt;="&amp;D19,RawData[Created_at],"&lt;"&amp;D19+1)</f>
        <v>0</v>
      </c>
      <c r="H19" s="23">
        <f>COUNTIFS(RawData[Role],"admin",RawData[Created_at],"&gt;="&amp;D19,RawData[Created_at],"&lt;"&amp;D19+1)</f>
        <v>0</v>
      </c>
      <c r="I19" s="23">
        <f t="shared" si="1"/>
        <v>9</v>
      </c>
    </row>
    <row r="20" spans="4:9" x14ac:dyDescent="0.3">
      <c r="D20" s="22">
        <f t="shared" si="0"/>
        <v>46273</v>
      </c>
      <c r="E20" s="23">
        <f>COUNTIFS(RawData[Created_at],"&gt;="&amp;D20,RawData[Created_at],"&lt;"&amp;D20+1)</f>
        <v>0</v>
      </c>
      <c r="F20" s="23">
        <f>COUNTIFS(RawData[Role],"engineer",RawData[Created_at],"&gt;="&amp;D20,RawData[Created_at],"&lt;"&amp;D20+1)</f>
        <v>0</v>
      </c>
      <c r="G20" s="23">
        <f>COUNTIFS(RawData[Role],"seeker",RawData[Created_at],"&gt;="&amp;D20,RawData[Created_at],"&lt;"&amp;D20+1)</f>
        <v>0</v>
      </c>
      <c r="H20" s="23">
        <f>COUNTIFS(RawData[Role],"admin",RawData[Created_at],"&gt;="&amp;D20,RawData[Created_at],"&lt;"&amp;D20+1)</f>
        <v>0</v>
      </c>
      <c r="I20" s="23">
        <f t="shared" si="1"/>
        <v>9</v>
      </c>
    </row>
    <row r="21" spans="4:9" x14ac:dyDescent="0.3">
      <c r="D21" s="22">
        <f t="shared" si="0"/>
        <v>46274</v>
      </c>
      <c r="E21" s="23">
        <f>COUNTIFS(RawData[Created_at],"&gt;="&amp;D21,RawData[Created_at],"&lt;"&amp;D21+1)</f>
        <v>0</v>
      </c>
      <c r="F21" s="23">
        <f>COUNTIFS(RawData[Role],"engineer",RawData[Created_at],"&gt;="&amp;D21,RawData[Created_at],"&lt;"&amp;D21+1)</f>
        <v>0</v>
      </c>
      <c r="G21" s="23">
        <f>COUNTIFS(RawData[Role],"seeker",RawData[Created_at],"&gt;="&amp;D21,RawData[Created_at],"&lt;"&amp;D21+1)</f>
        <v>0</v>
      </c>
      <c r="H21" s="23">
        <f>COUNTIFS(RawData[Role],"admin",RawData[Created_at],"&gt;="&amp;D21,RawData[Created_at],"&lt;"&amp;D21+1)</f>
        <v>0</v>
      </c>
      <c r="I21" s="23">
        <f t="shared" si="1"/>
        <v>9</v>
      </c>
    </row>
    <row r="22" spans="4:9" x14ac:dyDescent="0.3">
      <c r="D22" s="22">
        <f t="shared" si="0"/>
        <v>46275</v>
      </c>
      <c r="E22" s="23">
        <f>COUNTIFS(RawData[Created_at],"&gt;="&amp;D22,RawData[Created_at],"&lt;"&amp;D22+1)</f>
        <v>0</v>
      </c>
      <c r="F22" s="23">
        <f>COUNTIFS(RawData[Role],"engineer",RawData[Created_at],"&gt;="&amp;D22,RawData[Created_at],"&lt;"&amp;D22+1)</f>
        <v>0</v>
      </c>
      <c r="G22" s="23">
        <f>COUNTIFS(RawData[Role],"seeker",RawData[Created_at],"&gt;="&amp;D22,RawData[Created_at],"&lt;"&amp;D22+1)</f>
        <v>0</v>
      </c>
      <c r="H22" s="23">
        <f>COUNTIFS(RawData[Role],"admin",RawData[Created_at],"&gt;="&amp;D22,RawData[Created_at],"&lt;"&amp;D22+1)</f>
        <v>0</v>
      </c>
      <c r="I22" s="23">
        <f t="shared" si="1"/>
        <v>9</v>
      </c>
    </row>
    <row r="23" spans="4:9" x14ac:dyDescent="0.3">
      <c r="D23" s="22">
        <f t="shared" si="0"/>
        <v>46276</v>
      </c>
      <c r="E23" s="23">
        <f>COUNTIFS(RawData[Created_at],"&gt;="&amp;D23,RawData[Created_at],"&lt;"&amp;D23+1)</f>
        <v>0</v>
      </c>
      <c r="F23" s="23">
        <f>COUNTIFS(RawData[Role],"engineer",RawData[Created_at],"&gt;="&amp;D23,RawData[Created_at],"&lt;"&amp;D23+1)</f>
        <v>0</v>
      </c>
      <c r="G23" s="23">
        <f>COUNTIFS(RawData[Role],"seeker",RawData[Created_at],"&gt;="&amp;D23,RawData[Created_at],"&lt;"&amp;D23+1)</f>
        <v>0</v>
      </c>
      <c r="H23" s="23">
        <f>COUNTIFS(RawData[Role],"admin",RawData[Created_at],"&gt;="&amp;D23,RawData[Created_at],"&lt;"&amp;D23+1)</f>
        <v>0</v>
      </c>
      <c r="I23" s="23">
        <f t="shared" si="1"/>
        <v>9</v>
      </c>
    </row>
    <row r="24" spans="4:9" x14ac:dyDescent="0.3">
      <c r="D24" s="22">
        <f t="shared" si="0"/>
        <v>46277</v>
      </c>
      <c r="E24" s="23">
        <f>COUNTIFS(RawData[Created_at],"&gt;="&amp;D24,RawData[Created_at],"&lt;"&amp;D24+1)</f>
        <v>0</v>
      </c>
      <c r="F24" s="23">
        <f>COUNTIFS(RawData[Role],"engineer",RawData[Created_at],"&gt;="&amp;D24,RawData[Created_at],"&lt;"&amp;D24+1)</f>
        <v>0</v>
      </c>
      <c r="G24" s="23">
        <f>COUNTIFS(RawData[Role],"seeker",RawData[Created_at],"&gt;="&amp;D24,RawData[Created_at],"&lt;"&amp;D24+1)</f>
        <v>0</v>
      </c>
      <c r="H24" s="23">
        <f>COUNTIFS(RawData[Role],"admin",RawData[Created_at],"&gt;="&amp;D24,RawData[Created_at],"&lt;"&amp;D24+1)</f>
        <v>0</v>
      </c>
      <c r="I24" s="23">
        <f t="shared" si="1"/>
        <v>9</v>
      </c>
    </row>
    <row r="25" spans="4:9" x14ac:dyDescent="0.3">
      <c r="D25" s="22">
        <f t="shared" si="0"/>
        <v>46278</v>
      </c>
      <c r="E25" s="23">
        <f>COUNTIFS(RawData[Created_at],"&gt;="&amp;D25,RawData[Created_at],"&lt;"&amp;D25+1)</f>
        <v>0</v>
      </c>
      <c r="F25" s="23">
        <f>COUNTIFS(RawData[Role],"engineer",RawData[Created_at],"&gt;="&amp;D25,RawData[Created_at],"&lt;"&amp;D25+1)</f>
        <v>0</v>
      </c>
      <c r="G25" s="23">
        <f>COUNTIFS(RawData[Role],"seeker",RawData[Created_at],"&gt;="&amp;D25,RawData[Created_at],"&lt;"&amp;D25+1)</f>
        <v>0</v>
      </c>
      <c r="H25" s="23">
        <f>COUNTIFS(RawData[Role],"admin",RawData[Created_at],"&gt;="&amp;D25,RawData[Created_at],"&lt;"&amp;D25+1)</f>
        <v>0</v>
      </c>
      <c r="I25" s="23">
        <f t="shared" si="1"/>
        <v>9</v>
      </c>
    </row>
    <row r="26" spans="4:9" x14ac:dyDescent="0.3">
      <c r="D26" s="22">
        <f t="shared" si="0"/>
        <v>46279</v>
      </c>
      <c r="E26" s="23">
        <f>COUNTIFS(RawData[Created_at],"&gt;="&amp;D26,RawData[Created_at],"&lt;"&amp;D26+1)</f>
        <v>0</v>
      </c>
      <c r="F26" s="23">
        <f>COUNTIFS(RawData[Role],"engineer",RawData[Created_at],"&gt;="&amp;D26,RawData[Created_at],"&lt;"&amp;D26+1)</f>
        <v>0</v>
      </c>
      <c r="G26" s="23">
        <f>COUNTIFS(RawData[Role],"seeker",RawData[Created_at],"&gt;="&amp;D26,RawData[Created_at],"&lt;"&amp;D26+1)</f>
        <v>0</v>
      </c>
      <c r="H26" s="23">
        <f>COUNTIFS(RawData[Role],"admin",RawData[Created_at],"&gt;="&amp;D26,RawData[Created_at],"&lt;"&amp;D26+1)</f>
        <v>0</v>
      </c>
      <c r="I26" s="23">
        <f t="shared" si="1"/>
        <v>9</v>
      </c>
    </row>
    <row r="27" spans="4:9" x14ac:dyDescent="0.3">
      <c r="D27" s="22">
        <f t="shared" si="0"/>
        <v>46280</v>
      </c>
      <c r="E27" s="23">
        <f>COUNTIFS(RawData[Created_at],"&gt;="&amp;D27,RawData[Created_at],"&lt;"&amp;D27+1)</f>
        <v>0</v>
      </c>
      <c r="F27" s="23">
        <f>COUNTIFS(RawData[Role],"engineer",RawData[Created_at],"&gt;="&amp;D27,RawData[Created_at],"&lt;"&amp;D27+1)</f>
        <v>0</v>
      </c>
      <c r="G27" s="23">
        <f>COUNTIFS(RawData[Role],"seeker",RawData[Created_at],"&gt;="&amp;D27,RawData[Created_at],"&lt;"&amp;D27+1)</f>
        <v>0</v>
      </c>
      <c r="H27" s="23">
        <f>COUNTIFS(RawData[Role],"admin",RawData[Created_at],"&gt;="&amp;D27,RawData[Created_at],"&lt;"&amp;D27+1)</f>
        <v>0</v>
      </c>
      <c r="I27" s="23">
        <f t="shared" si="1"/>
        <v>9</v>
      </c>
    </row>
    <row r="28" spans="4:9" x14ac:dyDescent="0.3">
      <c r="D28" s="22">
        <f t="shared" si="0"/>
        <v>46281</v>
      </c>
      <c r="E28" s="23">
        <f>COUNTIFS(RawData[Created_at],"&gt;="&amp;D28,RawData[Created_at],"&lt;"&amp;D28+1)</f>
        <v>0</v>
      </c>
      <c r="F28" s="23">
        <f>COUNTIFS(RawData[Role],"engineer",RawData[Created_at],"&gt;="&amp;D28,RawData[Created_at],"&lt;"&amp;D28+1)</f>
        <v>0</v>
      </c>
      <c r="G28" s="23">
        <f>COUNTIFS(RawData[Role],"seeker",RawData[Created_at],"&gt;="&amp;D28,RawData[Created_at],"&lt;"&amp;D28+1)</f>
        <v>0</v>
      </c>
      <c r="H28" s="23">
        <f>COUNTIFS(RawData[Role],"admin",RawData[Created_at],"&gt;="&amp;D28,RawData[Created_at],"&lt;"&amp;D28+1)</f>
        <v>0</v>
      </c>
      <c r="I28" s="23">
        <f t="shared" si="1"/>
        <v>9</v>
      </c>
    </row>
    <row r="29" spans="4:9" x14ac:dyDescent="0.3">
      <c r="D29" s="22">
        <f t="shared" si="0"/>
        <v>46282</v>
      </c>
      <c r="E29" s="23">
        <f>COUNTIFS(RawData[Created_at],"&gt;="&amp;D29,RawData[Created_at],"&lt;"&amp;D29+1)</f>
        <v>0</v>
      </c>
      <c r="F29" s="23">
        <f>COUNTIFS(RawData[Role],"engineer",RawData[Created_at],"&gt;="&amp;D29,RawData[Created_at],"&lt;"&amp;D29+1)</f>
        <v>0</v>
      </c>
      <c r="G29" s="23">
        <f>COUNTIFS(RawData[Role],"seeker",RawData[Created_at],"&gt;="&amp;D29,RawData[Created_at],"&lt;"&amp;D29+1)</f>
        <v>0</v>
      </c>
      <c r="H29" s="23">
        <f>COUNTIFS(RawData[Role],"admin",RawData[Created_at],"&gt;="&amp;D29,RawData[Created_at],"&lt;"&amp;D29+1)</f>
        <v>0</v>
      </c>
      <c r="I29" s="23">
        <f t="shared" si="1"/>
        <v>9</v>
      </c>
    </row>
    <row r="30" spans="4:9" x14ac:dyDescent="0.3">
      <c r="D30" s="22">
        <f t="shared" si="0"/>
        <v>46283</v>
      </c>
      <c r="E30" s="23">
        <f>COUNTIFS(RawData[Created_at],"&gt;="&amp;D30,RawData[Created_at],"&lt;"&amp;D30+1)</f>
        <v>0</v>
      </c>
      <c r="F30" s="23">
        <f>COUNTIFS(RawData[Role],"engineer",RawData[Created_at],"&gt;="&amp;D30,RawData[Created_at],"&lt;"&amp;D30+1)</f>
        <v>0</v>
      </c>
      <c r="G30" s="23">
        <f>COUNTIFS(RawData[Role],"seeker",RawData[Created_at],"&gt;="&amp;D30,RawData[Created_at],"&lt;"&amp;D30+1)</f>
        <v>0</v>
      </c>
      <c r="H30" s="23">
        <f>COUNTIFS(RawData[Role],"admin",RawData[Created_at],"&gt;="&amp;D30,RawData[Created_at],"&lt;"&amp;D30+1)</f>
        <v>0</v>
      </c>
      <c r="I30" s="23">
        <f t="shared" si="1"/>
        <v>9</v>
      </c>
    </row>
    <row r="31" spans="4:9" x14ac:dyDescent="0.3">
      <c r="D31" s="22">
        <f t="shared" si="0"/>
        <v>46284</v>
      </c>
      <c r="E31" s="23">
        <f>COUNTIFS(RawData[Created_at],"&gt;="&amp;D31,RawData[Created_at],"&lt;"&amp;D31+1)</f>
        <v>0</v>
      </c>
      <c r="F31" s="23">
        <f>COUNTIFS(RawData[Role],"engineer",RawData[Created_at],"&gt;="&amp;D31,RawData[Created_at],"&lt;"&amp;D31+1)</f>
        <v>0</v>
      </c>
      <c r="G31" s="23">
        <f>COUNTIFS(RawData[Role],"seeker",RawData[Created_at],"&gt;="&amp;D31,RawData[Created_at],"&lt;"&amp;D31+1)</f>
        <v>0</v>
      </c>
      <c r="H31" s="23">
        <f>COUNTIFS(RawData[Role],"admin",RawData[Created_at],"&gt;="&amp;D31,RawData[Created_at],"&lt;"&amp;D31+1)</f>
        <v>0</v>
      </c>
      <c r="I31" s="23">
        <f t="shared" si="1"/>
        <v>9</v>
      </c>
    </row>
    <row r="32" spans="4:9" x14ac:dyDescent="0.3">
      <c r="D32" s="22">
        <f t="shared" si="0"/>
        <v>46285</v>
      </c>
      <c r="E32" s="23">
        <f>COUNTIFS(RawData[Created_at],"&gt;="&amp;D32,RawData[Created_at],"&lt;"&amp;D32+1)</f>
        <v>0</v>
      </c>
      <c r="F32" s="23">
        <f>COUNTIFS(RawData[Role],"engineer",RawData[Created_at],"&gt;="&amp;D32,RawData[Created_at],"&lt;"&amp;D32+1)</f>
        <v>0</v>
      </c>
      <c r="G32" s="23">
        <f>COUNTIFS(RawData[Role],"seeker",RawData[Created_at],"&gt;="&amp;D32,RawData[Created_at],"&lt;"&amp;D32+1)</f>
        <v>0</v>
      </c>
      <c r="H32" s="23">
        <f>COUNTIFS(RawData[Role],"admin",RawData[Created_at],"&gt;="&amp;D32,RawData[Created_at],"&lt;"&amp;D32+1)</f>
        <v>0</v>
      </c>
      <c r="I32" s="23">
        <f t="shared" si="1"/>
        <v>9</v>
      </c>
    </row>
    <row r="33" spans="4:9" x14ac:dyDescent="0.3">
      <c r="D33" s="22">
        <f t="shared" si="0"/>
        <v>46286</v>
      </c>
      <c r="E33" s="23">
        <f>COUNTIFS(RawData[Created_at],"&gt;="&amp;D33,RawData[Created_at],"&lt;"&amp;D33+1)</f>
        <v>0</v>
      </c>
      <c r="F33" s="23">
        <f>COUNTIFS(RawData[Role],"engineer",RawData[Created_at],"&gt;="&amp;D33,RawData[Created_at],"&lt;"&amp;D33+1)</f>
        <v>0</v>
      </c>
      <c r="G33" s="23">
        <f>COUNTIFS(RawData[Role],"seeker",RawData[Created_at],"&gt;="&amp;D33,RawData[Created_at],"&lt;"&amp;D33+1)</f>
        <v>0</v>
      </c>
      <c r="H33" s="23">
        <f>COUNTIFS(RawData[Role],"admin",RawData[Created_at],"&gt;="&amp;D33,RawData[Created_at],"&lt;"&amp;D33+1)</f>
        <v>0</v>
      </c>
      <c r="I33" s="23">
        <f t="shared" si="1"/>
        <v>9</v>
      </c>
    </row>
    <row r="34" spans="4:9" x14ac:dyDescent="0.3">
      <c r="D34" s="22">
        <f t="shared" si="0"/>
        <v>46287</v>
      </c>
      <c r="E34" s="23">
        <f>COUNTIFS(RawData[Created_at],"&gt;="&amp;D34,RawData[Created_at],"&lt;"&amp;D34+1)</f>
        <v>0</v>
      </c>
      <c r="F34" s="23">
        <f>COUNTIFS(RawData[Role],"engineer",RawData[Created_at],"&gt;="&amp;D34,RawData[Created_at],"&lt;"&amp;D34+1)</f>
        <v>0</v>
      </c>
      <c r="G34" s="23">
        <f>COUNTIFS(RawData[Role],"seeker",RawData[Created_at],"&gt;="&amp;D34,RawData[Created_at],"&lt;"&amp;D34+1)</f>
        <v>0</v>
      </c>
      <c r="H34" s="23">
        <f>COUNTIFS(RawData[Role],"admin",RawData[Created_at],"&gt;="&amp;D34,RawData[Created_at],"&lt;"&amp;D34+1)</f>
        <v>0</v>
      </c>
      <c r="I34" s="23">
        <f t="shared" si="1"/>
        <v>9</v>
      </c>
    </row>
    <row r="35" spans="4:9" x14ac:dyDescent="0.3">
      <c r="D35" s="22">
        <f t="shared" si="0"/>
        <v>46288</v>
      </c>
      <c r="E35" s="23">
        <f>COUNTIFS(RawData[Created_at],"&gt;="&amp;D35,RawData[Created_at],"&lt;"&amp;D35+1)</f>
        <v>0</v>
      </c>
      <c r="F35" s="23">
        <f>COUNTIFS(RawData[Role],"engineer",RawData[Created_at],"&gt;="&amp;D35,RawData[Created_at],"&lt;"&amp;D35+1)</f>
        <v>0</v>
      </c>
      <c r="G35" s="23">
        <f>COUNTIFS(RawData[Role],"seeker",RawData[Created_at],"&gt;="&amp;D35,RawData[Created_at],"&lt;"&amp;D35+1)</f>
        <v>0</v>
      </c>
      <c r="H35" s="23">
        <f>COUNTIFS(RawData[Role],"admin",RawData[Created_at],"&gt;="&amp;D35,RawData[Created_at],"&lt;"&amp;D35+1)</f>
        <v>0</v>
      </c>
      <c r="I35" s="23">
        <f t="shared" si="1"/>
        <v>9</v>
      </c>
    </row>
    <row r="36" spans="4:9" x14ac:dyDescent="0.3">
      <c r="D36" s="22">
        <f t="shared" si="0"/>
        <v>46289</v>
      </c>
      <c r="E36" s="23">
        <f>COUNTIFS(RawData[Created_at],"&gt;="&amp;D36,RawData[Created_at],"&lt;"&amp;D36+1)</f>
        <v>0</v>
      </c>
      <c r="F36" s="23">
        <f>COUNTIFS(RawData[Role],"engineer",RawData[Created_at],"&gt;="&amp;D36,RawData[Created_at],"&lt;"&amp;D36+1)</f>
        <v>0</v>
      </c>
      <c r="G36" s="23">
        <f>COUNTIFS(RawData[Role],"seeker",RawData[Created_at],"&gt;="&amp;D36,RawData[Created_at],"&lt;"&amp;D36+1)</f>
        <v>0</v>
      </c>
      <c r="H36" s="23">
        <f>COUNTIFS(RawData[Role],"admin",RawData[Created_at],"&gt;="&amp;D36,RawData[Created_at],"&lt;"&amp;D36+1)</f>
        <v>0</v>
      </c>
      <c r="I36" s="23">
        <f t="shared" si="1"/>
        <v>9</v>
      </c>
    </row>
    <row r="37" spans="4:9" x14ac:dyDescent="0.3">
      <c r="D37" s="22">
        <f t="shared" si="0"/>
        <v>46290</v>
      </c>
      <c r="E37" s="23">
        <f>COUNTIFS(RawData[Created_at],"&gt;="&amp;D37,RawData[Created_at],"&lt;"&amp;D37+1)</f>
        <v>0</v>
      </c>
      <c r="F37" s="23">
        <f>COUNTIFS(RawData[Role],"engineer",RawData[Created_at],"&gt;="&amp;D37,RawData[Created_at],"&lt;"&amp;D37+1)</f>
        <v>0</v>
      </c>
      <c r="G37" s="23">
        <f>COUNTIFS(RawData[Role],"seeker",RawData[Created_at],"&gt;="&amp;D37,RawData[Created_at],"&lt;"&amp;D37+1)</f>
        <v>0</v>
      </c>
      <c r="H37" s="23">
        <f>COUNTIFS(RawData[Role],"admin",RawData[Created_at],"&gt;="&amp;D37,RawData[Created_at],"&lt;"&amp;D37+1)</f>
        <v>0</v>
      </c>
      <c r="I37" s="23">
        <f t="shared" si="1"/>
        <v>9</v>
      </c>
    </row>
    <row r="38" spans="4:9" x14ac:dyDescent="0.3">
      <c r="D38" s="22">
        <f t="shared" si="0"/>
        <v>46291</v>
      </c>
      <c r="E38" s="23">
        <f>COUNTIFS(RawData[Created_at],"&gt;="&amp;D38,RawData[Created_at],"&lt;"&amp;D38+1)</f>
        <v>0</v>
      </c>
      <c r="F38" s="23">
        <f>COUNTIFS(RawData[Role],"engineer",RawData[Created_at],"&gt;="&amp;D38,RawData[Created_at],"&lt;"&amp;D38+1)</f>
        <v>0</v>
      </c>
      <c r="G38" s="23">
        <f>COUNTIFS(RawData[Role],"seeker",RawData[Created_at],"&gt;="&amp;D38,RawData[Created_at],"&lt;"&amp;D38+1)</f>
        <v>0</v>
      </c>
      <c r="H38" s="23">
        <f>COUNTIFS(RawData[Role],"admin",RawData[Created_at],"&gt;="&amp;D38,RawData[Created_at],"&lt;"&amp;D38+1)</f>
        <v>0</v>
      </c>
      <c r="I38" s="23">
        <f t="shared" si="1"/>
        <v>9</v>
      </c>
    </row>
    <row r="39" spans="4:9" x14ac:dyDescent="0.3">
      <c r="D39" s="22">
        <f t="shared" si="0"/>
        <v>46292</v>
      </c>
      <c r="E39" s="23">
        <f>COUNTIFS(RawData[Created_at],"&gt;="&amp;D39,RawData[Created_at],"&lt;"&amp;D39+1)</f>
        <v>0</v>
      </c>
      <c r="F39" s="23">
        <f>COUNTIFS(RawData[Role],"engineer",RawData[Created_at],"&gt;="&amp;D39,RawData[Created_at],"&lt;"&amp;D39+1)</f>
        <v>0</v>
      </c>
      <c r="G39" s="23">
        <f>COUNTIFS(RawData[Role],"seeker",RawData[Created_at],"&gt;="&amp;D39,RawData[Created_at],"&lt;"&amp;D39+1)</f>
        <v>0</v>
      </c>
      <c r="H39" s="23">
        <f>COUNTIFS(RawData[Role],"admin",RawData[Created_at],"&gt;="&amp;D39,RawData[Created_at],"&lt;"&amp;D39+1)</f>
        <v>0</v>
      </c>
      <c r="I39" s="23">
        <f t="shared" si="1"/>
        <v>9</v>
      </c>
    </row>
    <row r="40" spans="4:9" x14ac:dyDescent="0.3">
      <c r="D40" s="22">
        <f t="shared" si="0"/>
        <v>46293</v>
      </c>
      <c r="E40" s="23">
        <f>COUNTIFS(RawData[Created_at],"&gt;="&amp;D40,RawData[Created_at],"&lt;"&amp;D40+1)</f>
        <v>0</v>
      </c>
      <c r="F40" s="23">
        <f>COUNTIFS(RawData[Role],"engineer",RawData[Created_at],"&gt;="&amp;D40,RawData[Created_at],"&lt;"&amp;D40+1)</f>
        <v>0</v>
      </c>
      <c r="G40" s="23">
        <f>COUNTIFS(RawData[Role],"seeker",RawData[Created_at],"&gt;="&amp;D40,RawData[Created_at],"&lt;"&amp;D40+1)</f>
        <v>0</v>
      </c>
      <c r="H40" s="23">
        <f>COUNTIFS(RawData[Role],"admin",RawData[Created_at],"&gt;="&amp;D40,RawData[Created_at],"&lt;"&amp;D40+1)</f>
        <v>0</v>
      </c>
      <c r="I40" s="23">
        <f t="shared" si="1"/>
        <v>9</v>
      </c>
    </row>
    <row r="41" spans="4:9" x14ac:dyDescent="0.3">
      <c r="D41" s="22">
        <f t="shared" si="0"/>
        <v>46294</v>
      </c>
      <c r="E41" s="23">
        <f>COUNTIFS(RawData[Created_at],"&gt;="&amp;D41,RawData[Created_at],"&lt;"&amp;D41+1)</f>
        <v>0</v>
      </c>
      <c r="F41" s="23">
        <f>COUNTIFS(RawData[Role],"engineer",RawData[Created_at],"&gt;="&amp;D41,RawData[Created_at],"&lt;"&amp;D41+1)</f>
        <v>0</v>
      </c>
      <c r="G41" s="23">
        <f>COUNTIFS(RawData[Role],"seeker",RawData[Created_at],"&gt;="&amp;D41,RawData[Created_at],"&lt;"&amp;D41+1)</f>
        <v>0</v>
      </c>
      <c r="H41" s="23">
        <f>COUNTIFS(RawData[Role],"admin",RawData[Created_at],"&gt;="&amp;D41,RawData[Created_at],"&lt;"&amp;D41+1)</f>
        <v>0</v>
      </c>
      <c r="I41" s="23">
        <f t="shared" si="1"/>
        <v>9</v>
      </c>
    </row>
    <row r="42" spans="4:9" x14ac:dyDescent="0.3">
      <c r="D42" s="22">
        <f t="shared" si="0"/>
        <v>46295</v>
      </c>
      <c r="E42" s="23">
        <f>COUNTIFS(RawData[Created_at],"&gt;="&amp;D42,RawData[Created_at],"&lt;"&amp;D42+1)</f>
        <v>0</v>
      </c>
      <c r="F42" s="23">
        <f>COUNTIFS(RawData[Role],"engineer",RawData[Created_at],"&gt;="&amp;D42,RawData[Created_at],"&lt;"&amp;D42+1)</f>
        <v>0</v>
      </c>
      <c r="G42" s="23">
        <f>COUNTIFS(RawData[Role],"seeker",RawData[Created_at],"&gt;="&amp;D42,RawData[Created_at],"&lt;"&amp;D42+1)</f>
        <v>0</v>
      </c>
      <c r="H42" s="23">
        <f>COUNTIFS(RawData[Role],"admin",RawData[Created_at],"&gt;="&amp;D42,RawData[Created_at],"&lt;"&amp;D42+1)</f>
        <v>0</v>
      </c>
      <c r="I42" s="23">
        <f t="shared" si="1"/>
        <v>9</v>
      </c>
    </row>
    <row r="43" spans="4:9" x14ac:dyDescent="0.3">
      <c r="D43" s="22">
        <f t="shared" si="0"/>
        <v>46296</v>
      </c>
      <c r="E43" s="23">
        <f>COUNTIFS(RawData[Created_at],"&gt;="&amp;D43,RawData[Created_at],"&lt;"&amp;D43+1)</f>
        <v>0</v>
      </c>
      <c r="F43" s="23">
        <f>COUNTIFS(RawData[Role],"engineer",RawData[Created_at],"&gt;="&amp;D43,RawData[Created_at],"&lt;"&amp;D43+1)</f>
        <v>0</v>
      </c>
      <c r="G43" s="23">
        <f>COUNTIFS(RawData[Role],"seeker",RawData[Created_at],"&gt;="&amp;D43,RawData[Created_at],"&lt;"&amp;D43+1)</f>
        <v>0</v>
      </c>
      <c r="H43" s="23">
        <f>COUNTIFS(RawData[Role],"admin",RawData[Created_at],"&gt;="&amp;D43,RawData[Created_at],"&lt;"&amp;D43+1)</f>
        <v>0</v>
      </c>
      <c r="I43" s="23">
        <f t="shared" si="1"/>
        <v>9</v>
      </c>
    </row>
    <row r="44" spans="4:9" x14ac:dyDescent="0.3">
      <c r="D44" s="22">
        <f t="shared" si="0"/>
        <v>46297</v>
      </c>
      <c r="E44" s="23">
        <f>COUNTIFS(RawData[Created_at],"&gt;="&amp;D44,RawData[Created_at],"&lt;"&amp;D44+1)</f>
        <v>0</v>
      </c>
      <c r="F44" s="23">
        <f>COUNTIFS(RawData[Role],"engineer",RawData[Created_at],"&gt;="&amp;D44,RawData[Created_at],"&lt;"&amp;D44+1)</f>
        <v>0</v>
      </c>
      <c r="G44" s="23">
        <f>COUNTIFS(RawData[Role],"seeker",RawData[Created_at],"&gt;="&amp;D44,RawData[Created_at],"&lt;"&amp;D44+1)</f>
        <v>0</v>
      </c>
      <c r="H44" s="23">
        <f>COUNTIFS(RawData[Role],"admin",RawData[Created_at],"&gt;="&amp;D44,RawData[Created_at],"&lt;"&amp;D44+1)</f>
        <v>0</v>
      </c>
      <c r="I44" s="23">
        <f t="shared" si="1"/>
        <v>9</v>
      </c>
    </row>
    <row r="45" spans="4:9" x14ac:dyDescent="0.3">
      <c r="D45" s="22">
        <f t="shared" si="0"/>
        <v>46298</v>
      </c>
      <c r="E45" s="23">
        <f>COUNTIFS(RawData[Created_at],"&gt;="&amp;D45,RawData[Created_at],"&lt;"&amp;D45+1)</f>
        <v>0</v>
      </c>
      <c r="F45" s="23">
        <f>COUNTIFS(RawData[Role],"engineer",RawData[Created_at],"&gt;="&amp;D45,RawData[Created_at],"&lt;"&amp;D45+1)</f>
        <v>0</v>
      </c>
      <c r="G45" s="23">
        <f>COUNTIFS(RawData[Role],"seeker",RawData[Created_at],"&gt;="&amp;D45,RawData[Created_at],"&lt;"&amp;D45+1)</f>
        <v>0</v>
      </c>
      <c r="H45" s="23">
        <f>COUNTIFS(RawData[Role],"admin",RawData[Created_at],"&gt;="&amp;D45,RawData[Created_at],"&lt;"&amp;D45+1)</f>
        <v>0</v>
      </c>
      <c r="I45" s="23">
        <f t="shared" si="1"/>
        <v>9</v>
      </c>
    </row>
    <row r="46" spans="4:9" x14ac:dyDescent="0.3">
      <c r="D46" s="22">
        <f t="shared" si="0"/>
        <v>46299</v>
      </c>
      <c r="E46" s="23">
        <f>COUNTIFS(RawData[Created_at],"&gt;="&amp;D46,RawData[Created_at],"&lt;"&amp;D46+1)</f>
        <v>0</v>
      </c>
      <c r="F46" s="23">
        <f>COUNTIFS(RawData[Role],"engineer",RawData[Created_at],"&gt;="&amp;D46,RawData[Created_at],"&lt;"&amp;D46+1)</f>
        <v>0</v>
      </c>
      <c r="G46" s="23">
        <f>COUNTIFS(RawData[Role],"seeker",RawData[Created_at],"&gt;="&amp;D46,RawData[Created_at],"&lt;"&amp;D46+1)</f>
        <v>0</v>
      </c>
      <c r="H46" s="23">
        <f>COUNTIFS(RawData[Role],"admin",RawData[Created_at],"&gt;="&amp;D46,RawData[Created_at],"&lt;"&amp;D46+1)</f>
        <v>0</v>
      </c>
      <c r="I46" s="23">
        <f t="shared" si="1"/>
        <v>9</v>
      </c>
    </row>
    <row r="47" spans="4:9" x14ac:dyDescent="0.3">
      <c r="D47" s="22">
        <f t="shared" si="0"/>
        <v>46300</v>
      </c>
      <c r="E47" s="23">
        <f>COUNTIFS(RawData[Created_at],"&gt;="&amp;D47,RawData[Created_at],"&lt;"&amp;D47+1)</f>
        <v>0</v>
      </c>
      <c r="F47" s="23">
        <f>COUNTIFS(RawData[Role],"engineer",RawData[Created_at],"&gt;="&amp;D47,RawData[Created_at],"&lt;"&amp;D47+1)</f>
        <v>0</v>
      </c>
      <c r="G47" s="23">
        <f>COUNTIFS(RawData[Role],"seeker",RawData[Created_at],"&gt;="&amp;D47,RawData[Created_at],"&lt;"&amp;D47+1)</f>
        <v>0</v>
      </c>
      <c r="H47" s="23">
        <f>COUNTIFS(RawData[Role],"admin",RawData[Created_at],"&gt;="&amp;D47,RawData[Created_at],"&lt;"&amp;D47+1)</f>
        <v>0</v>
      </c>
      <c r="I47" s="23">
        <f t="shared" si="1"/>
        <v>9</v>
      </c>
    </row>
    <row r="48" spans="4:9" x14ac:dyDescent="0.3">
      <c r="D48" s="22">
        <f t="shared" si="0"/>
        <v>46301</v>
      </c>
      <c r="E48" s="23">
        <f>COUNTIFS(RawData[Created_at],"&gt;="&amp;D48,RawData[Created_at],"&lt;"&amp;D48+1)</f>
        <v>0</v>
      </c>
      <c r="F48" s="23">
        <f>COUNTIFS(RawData[Role],"engineer",RawData[Created_at],"&gt;="&amp;D48,RawData[Created_at],"&lt;"&amp;D48+1)</f>
        <v>0</v>
      </c>
      <c r="G48" s="23">
        <f>COUNTIFS(RawData[Role],"seeker",RawData[Created_at],"&gt;="&amp;D48,RawData[Created_at],"&lt;"&amp;D48+1)</f>
        <v>0</v>
      </c>
      <c r="H48" s="23">
        <f>COUNTIFS(RawData[Role],"admin",RawData[Created_at],"&gt;="&amp;D48,RawData[Created_at],"&lt;"&amp;D48+1)</f>
        <v>0</v>
      </c>
      <c r="I48" s="23">
        <f t="shared" si="1"/>
        <v>9</v>
      </c>
    </row>
    <row r="49" spans="4:9" x14ac:dyDescent="0.3">
      <c r="D49" s="22">
        <f t="shared" si="0"/>
        <v>46302</v>
      </c>
      <c r="E49" s="23">
        <f>COUNTIFS(RawData[Created_at],"&gt;="&amp;D49,RawData[Created_at],"&lt;"&amp;D49+1)</f>
        <v>0</v>
      </c>
      <c r="F49" s="23">
        <f>COUNTIFS(RawData[Role],"engineer",RawData[Created_at],"&gt;="&amp;D49,RawData[Created_at],"&lt;"&amp;D49+1)</f>
        <v>0</v>
      </c>
      <c r="G49" s="23">
        <f>COUNTIFS(RawData[Role],"seeker",RawData[Created_at],"&gt;="&amp;D49,RawData[Created_at],"&lt;"&amp;D49+1)</f>
        <v>0</v>
      </c>
      <c r="H49" s="23">
        <f>COUNTIFS(RawData[Role],"admin",RawData[Created_at],"&gt;="&amp;D49,RawData[Created_at],"&lt;"&amp;D49+1)</f>
        <v>0</v>
      </c>
      <c r="I49" s="23">
        <f t="shared" si="1"/>
        <v>9</v>
      </c>
    </row>
    <row r="50" spans="4:9" x14ac:dyDescent="0.3">
      <c r="D50" s="22">
        <f t="shared" si="0"/>
        <v>46303</v>
      </c>
      <c r="E50" s="23">
        <f>COUNTIFS(RawData[Created_at],"&gt;="&amp;D50,RawData[Created_at],"&lt;"&amp;D50+1)</f>
        <v>0</v>
      </c>
      <c r="F50" s="23">
        <f>COUNTIFS(RawData[Role],"engineer",RawData[Created_at],"&gt;="&amp;D50,RawData[Created_at],"&lt;"&amp;D50+1)</f>
        <v>0</v>
      </c>
      <c r="G50" s="23">
        <f>COUNTIFS(RawData[Role],"seeker",RawData[Created_at],"&gt;="&amp;D50,RawData[Created_at],"&lt;"&amp;D50+1)</f>
        <v>0</v>
      </c>
      <c r="H50" s="23">
        <f>COUNTIFS(RawData[Role],"admin",RawData[Created_at],"&gt;="&amp;D50,RawData[Created_at],"&lt;"&amp;D50+1)</f>
        <v>0</v>
      </c>
      <c r="I50" s="23">
        <f t="shared" si="1"/>
        <v>9</v>
      </c>
    </row>
    <row r="51" spans="4:9" x14ac:dyDescent="0.3">
      <c r="D51" s="22">
        <f t="shared" si="0"/>
        <v>46304</v>
      </c>
      <c r="E51" s="23">
        <f>COUNTIFS(RawData[Created_at],"&gt;="&amp;D51,RawData[Created_at],"&lt;"&amp;D51+1)</f>
        <v>0</v>
      </c>
      <c r="F51" s="23">
        <f>COUNTIFS(RawData[Role],"engineer",RawData[Created_at],"&gt;="&amp;D51,RawData[Created_at],"&lt;"&amp;D51+1)</f>
        <v>0</v>
      </c>
      <c r="G51" s="23">
        <f>COUNTIFS(RawData[Role],"seeker",RawData[Created_at],"&gt;="&amp;D51,RawData[Created_at],"&lt;"&amp;D51+1)</f>
        <v>0</v>
      </c>
      <c r="H51" s="23">
        <f>COUNTIFS(RawData[Role],"admin",RawData[Created_at],"&gt;="&amp;D51,RawData[Created_at],"&lt;"&amp;D51+1)</f>
        <v>0</v>
      </c>
      <c r="I51" s="23">
        <f t="shared" si="1"/>
        <v>9</v>
      </c>
    </row>
    <row r="52" spans="4:9" x14ac:dyDescent="0.3">
      <c r="D52" s="22">
        <f t="shared" si="0"/>
        <v>46305</v>
      </c>
      <c r="E52" s="23">
        <f>COUNTIFS(RawData[Created_at],"&gt;="&amp;D52,RawData[Created_at],"&lt;"&amp;D52+1)</f>
        <v>0</v>
      </c>
      <c r="F52" s="23">
        <f>COUNTIFS(RawData[Role],"engineer",RawData[Created_at],"&gt;="&amp;D52,RawData[Created_at],"&lt;"&amp;D52+1)</f>
        <v>0</v>
      </c>
      <c r="G52" s="23">
        <f>COUNTIFS(RawData[Role],"seeker",RawData[Created_at],"&gt;="&amp;D52,RawData[Created_at],"&lt;"&amp;D52+1)</f>
        <v>0</v>
      </c>
      <c r="H52" s="23">
        <f>COUNTIFS(RawData[Role],"admin",RawData[Created_at],"&gt;="&amp;D52,RawData[Created_at],"&lt;"&amp;D52+1)</f>
        <v>0</v>
      </c>
      <c r="I52" s="23">
        <f t="shared" si="1"/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Dashboard</vt:lpstr>
      <vt:lpstr>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 GOD WE TRUST</cp:lastModifiedBy>
  <cp:revision>1</cp:revision>
  <dcterms:created xsi:type="dcterms:W3CDTF">2026-09-22T07:23:43Z</dcterms:created>
  <dcterms:modified xsi:type="dcterms:W3CDTF">2026-09-22T07:55:49Z</dcterms:modified>
  <dc:language>en-US</dc:language>
</cp:coreProperties>
</file>