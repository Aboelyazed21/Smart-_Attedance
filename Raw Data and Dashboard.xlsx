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 GOD WE TRUST\Desktop\Data1\"/>
    </mc:Choice>
  </mc:AlternateContent>
  <bookViews>
    <workbookView xWindow="0" yWindow="0" windowWidth="23040" windowHeight="9072" tabRatio="500" activeTab="2"/>
  </bookViews>
  <sheets>
    <sheet name="Raw Data" sheetId="4" r:id="rId1"/>
    <sheet name="Table" sheetId="2" r:id="rId2"/>
    <sheet name="User Dashboard" sheetId="3" r:id="rId3"/>
  </sheets>
  <definedNames>
    <definedName name="_xlnm.Print_Area" localSheetId="2">'User Dashboard'!$A$1:$N$52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0" i="3" l="1"/>
  <c r="E49" i="3"/>
  <c r="C46" i="3"/>
  <c r="H6" i="3" s="1"/>
  <c r="H7" i="3" s="1"/>
  <c r="C45" i="3"/>
  <c r="F6" i="3" s="1"/>
  <c r="F7" i="3" s="1"/>
  <c r="C44" i="3"/>
  <c r="D6" i="3" s="1"/>
  <c r="D7" i="3" s="1"/>
  <c r="L43" i="3"/>
  <c r="K43" i="3"/>
  <c r="J43" i="3"/>
  <c r="J6" i="3"/>
  <c r="J7" i="3" s="1"/>
  <c r="B6" i="3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L6" i="3" s="1"/>
  <c r="L7" i="3" l="1"/>
  <c r="G44" i="3"/>
  <c r="K44" i="3" l="1"/>
  <c r="I44" i="3"/>
  <c r="J44" i="3"/>
  <c r="H44" i="3"/>
  <c r="G45" i="3"/>
  <c r="M44" i="3"/>
  <c r="L44" i="3"/>
  <c r="G46" i="3" l="1"/>
  <c r="M45" i="3"/>
  <c r="K45" i="3"/>
  <c r="J45" i="3"/>
  <c r="I45" i="3"/>
  <c r="H45" i="3"/>
  <c r="L45" i="3"/>
  <c r="G47" i="3" l="1"/>
  <c r="M46" i="3"/>
  <c r="L46" i="3"/>
  <c r="K46" i="3"/>
  <c r="J46" i="3"/>
  <c r="I46" i="3"/>
  <c r="H46" i="3"/>
  <c r="L47" i="3" l="1"/>
  <c r="K47" i="3"/>
  <c r="J47" i="3"/>
  <c r="H47" i="3"/>
  <c r="I47" i="3"/>
  <c r="G48" i="3"/>
  <c r="M47" i="3"/>
  <c r="G49" i="3" l="1"/>
  <c r="M48" i="3"/>
  <c r="L48" i="3"/>
  <c r="K48" i="3"/>
  <c r="J48" i="3"/>
  <c r="I48" i="3"/>
  <c r="H48" i="3"/>
  <c r="I49" i="3" l="1"/>
  <c r="H49" i="3"/>
  <c r="G50" i="3"/>
  <c r="M49" i="3"/>
  <c r="L49" i="3"/>
  <c r="K49" i="3"/>
  <c r="J49" i="3"/>
  <c r="M50" i="3" l="1"/>
  <c r="L50" i="3"/>
  <c r="K50" i="3"/>
  <c r="J50" i="3"/>
  <c r="I50" i="3"/>
  <c r="H50" i="3"/>
</calcChain>
</file>

<file path=xl/sharedStrings.xml><?xml version="1.0" encoding="utf-8"?>
<sst xmlns="http://schemas.openxmlformats.org/spreadsheetml/2006/main" count="129" uniqueCount="54">
  <si>
    <t>Name</t>
  </si>
  <si>
    <t>Email</t>
  </si>
  <si>
    <t>Role</t>
  </si>
  <si>
    <t>Status</t>
  </si>
  <si>
    <t>Created_at</t>
  </si>
  <si>
    <t>Aboelyazzed Hatem</t>
  </si>
  <si>
    <t>aboelyazzedhatem992@gmail.com</t>
  </si>
  <si>
    <t>engineer</t>
  </si>
  <si>
    <t>active</t>
  </si>
  <si>
    <t>seeker</t>
  </si>
  <si>
    <t>Monir Ossama</t>
  </si>
  <si>
    <t>admin@engineerhub.com</t>
  </si>
  <si>
    <t>admin</t>
  </si>
  <si>
    <t>Salma Ali</t>
  </si>
  <si>
    <t>salma@gmail.com</t>
  </si>
  <si>
    <t>Salma Hassan</t>
  </si>
  <si>
    <t>aboelyazzedjjjjhatem992@gmail.com</t>
  </si>
  <si>
    <t>Salma Khalil</t>
  </si>
  <si>
    <t>Salmaatmedji@gamil.com</t>
  </si>
  <si>
    <t>Eng. ZEZO1</t>
  </si>
  <si>
    <t>zezo9h43@gmail.com</t>
  </si>
  <si>
    <t>Ali Omar</t>
  </si>
  <si>
    <t>x@gamil.com</t>
  </si>
  <si>
    <t>Ahmed Ali</t>
  </si>
  <si>
    <t>zezzo943@gmail.com</t>
  </si>
  <si>
    <t>Created_Date</t>
  </si>
  <si>
    <t>Email_Domain</t>
  </si>
  <si>
    <t>Users Dashboard</t>
  </si>
  <si>
    <t>TOTAL USERS</t>
  </si>
  <si>
    <t>ENGINEERS</t>
  </si>
  <si>
    <t>SEEKERS</t>
  </si>
  <si>
    <t>ADMINS</t>
  </si>
  <si>
    <t>ACTIVE USERS</t>
  </si>
  <si>
    <t>LAST SIGN-UP</t>
  </si>
  <si>
    <t>registered accounts</t>
  </si>
  <si>
    <t>Chart data (feeds the charts above - all formulas linked to the 'Table' sheet)</t>
  </si>
  <si>
    <t>Users</t>
  </si>
  <si>
    <t>Date</t>
  </si>
  <si>
    <t>Label</t>
  </si>
  <si>
    <t>Sign-ups</t>
  </si>
  <si>
    <t>Cumulative</t>
  </si>
  <si>
    <t>Engineer</t>
  </si>
  <si>
    <t>Seeker</t>
  </si>
  <si>
    <t>Admin</t>
  </si>
  <si>
    <t>Data quality checks</t>
  </si>
  <si>
    <t>Rows sharing a duplicate email</t>
  </si>
  <si>
    <t>Emails on 'gamil.com' (typo?)</t>
  </si>
  <si>
    <t>Shows the last 7 days of data ending at the latest sign-up date.</t>
  </si>
  <si>
    <t>ID</t>
  </si>
  <si>
    <t>Password</t>
  </si>
  <si>
    <t>Email_domain</t>
  </si>
  <si>
    <t>*******</t>
  </si>
  <si>
    <t>google.com</t>
  </si>
  <si>
    <t>engineerhub.com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</si>
</sst>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\-mm\-dd\ hh:mm:ss"/>
    <numFmt numFmtId="165" formatCode="yyyy\-mm\-dd"/>
    <numFmt numFmtId="166" formatCode="dd\-mmm\-yyyy"/>
    <numFmt numFmtId="167" formatCode="0.0%&quot; of total&quot;"/>
    <numFmt numFmtId="168" formatCode="&quot;First: &quot;dd\-mmm\-yyyy"/>
    <numFmt numFmtId="169" formatCode="yyyy\-mm\-dd\ h:mm:ss"/>
  </numFmts>
  <fonts count="19" x14ac:knownFonts="1"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22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b/>
      <sz val="24"/>
      <color rgb="FF1F3864"/>
      <name val="Arial"/>
      <charset val="1"/>
    </font>
    <font>
      <b/>
      <sz val="24"/>
      <color rgb="FF2F5597"/>
      <name val="Arial"/>
      <charset val="1"/>
    </font>
    <font>
      <b/>
      <sz val="24"/>
      <color rgb="FF2BA39B"/>
      <name val="Arial"/>
      <charset val="1"/>
    </font>
    <font>
      <b/>
      <sz val="24"/>
      <color rgb="FFED7D31"/>
      <name val="Arial"/>
      <charset val="1"/>
    </font>
    <font>
      <b/>
      <sz val="24"/>
      <color rgb="FF548235"/>
      <name val="Arial"/>
      <charset val="1"/>
    </font>
    <font>
      <b/>
      <sz val="18"/>
      <color rgb="FF595959"/>
      <name val="Arial"/>
      <charset val="1"/>
    </font>
    <font>
      <sz val="9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2F5597"/>
        <bgColor rgb="FF1F3864"/>
      </patternFill>
    </fill>
  </fills>
  <borders count="11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ck">
        <color rgb="FF1F3864"/>
      </top>
      <bottom/>
      <diagonal/>
    </border>
    <border>
      <left style="thin">
        <color rgb="FFD0D7E5"/>
      </left>
      <right style="thin">
        <color rgb="FFD0D7E5"/>
      </right>
      <top style="thick">
        <color rgb="FF2F5597"/>
      </top>
      <bottom/>
      <diagonal/>
    </border>
    <border>
      <left style="thin">
        <color rgb="FFD0D7E5"/>
      </left>
      <right style="thin">
        <color rgb="FFD0D7E5"/>
      </right>
      <top style="thick">
        <color rgb="FF2BA39B"/>
      </top>
      <bottom/>
      <diagonal/>
    </border>
    <border>
      <left style="thin">
        <color rgb="FFD0D7E5"/>
      </left>
      <right style="thin">
        <color rgb="FFD0D7E5"/>
      </right>
      <top style="thick">
        <color rgb="FFED7D31"/>
      </top>
      <bottom/>
      <diagonal/>
    </border>
    <border>
      <left style="thin">
        <color rgb="FFD0D7E5"/>
      </left>
      <right style="thin">
        <color rgb="FFD0D7E5"/>
      </right>
      <top style="thick">
        <color rgb="FF548235"/>
      </top>
      <bottom/>
      <diagonal/>
    </border>
    <border>
      <left style="thin">
        <color rgb="FFD0D7E5"/>
      </left>
      <right style="thin">
        <color rgb="FFD0D7E5"/>
      </right>
      <top style="thick">
        <color rgb="FF595959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0D7E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4" fillId="4" borderId="0" xfId="0" applyFont="1" applyFill="1" applyAlignment="1">
      <alignment horizontal="center" vertical="center"/>
    </xf>
    <xf numFmtId="0" fontId="2" fillId="0" borderId="10" xfId="0" applyFont="1" applyBorder="1"/>
    <xf numFmtId="1" fontId="2" fillId="0" borderId="1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169" fontId="17" fillId="0" borderId="0" xfId="0" applyNumberFormat="1" applyFont="1" applyAlignment="1"/>
    <xf numFmtId="0" fontId="0" fillId="0" borderId="0" xfId="0" applyFont="1" applyAlignme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inden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3" fillId="0" borderId="9" xfId="0" applyFont="1" applyBorder="1"/>
    <xf numFmtId="0" fontId="14" fillId="4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66" fontId="11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67" fontId="12" fillId="3" borderId="8" xfId="0" applyNumberFormat="1" applyFont="1" applyFill="1" applyBorder="1" applyAlignment="1">
      <alignment horizontal="center" vertical="center"/>
    </xf>
    <xf numFmtId="168" fontId="12" fillId="3" borderId="8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7" fillId="3" borderId="7" xfId="0" applyNumberFormat="1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" fontId="9" fillId="3" borderId="7" xfId="0" applyNumberFormat="1" applyFont="1" applyFill="1" applyBorder="1" applyAlignment="1">
      <alignment horizontal="center" vertical="center"/>
    </xf>
    <xf numFmtId="1" fontId="10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B8B8B"/>
      <rgbColor rgb="FF9999FF"/>
      <rgbColor rgb="FF993366"/>
      <rgbColor rgb="FFF2F5FA"/>
      <rgbColor rgb="FFE3E7E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2BA39B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Users by Role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'User Dashboard'!$C$43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D3F-4C3B-86C6-63203DBB5E9F}"/>
              </c:ext>
            </c:extLst>
          </c:dPt>
          <c:dPt>
            <c:idx val="1"/>
            <c:bubble3D val="0"/>
            <c:spPr>
              <a:solidFill>
                <a:srgbClr val="2BA39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D3F-4C3B-86C6-63203DBB5E9F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D3F-4C3B-86C6-63203DBB5E9F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D3F-4C3B-86C6-63203DBB5E9F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D3F-4C3B-86C6-63203DBB5E9F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D3F-4C3B-86C6-63203DBB5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'User Dashboard'!$B$44:$B$46</c:f>
              <c:strCache>
                <c:ptCount val="3"/>
                <c:pt idx="0">
                  <c:v>Engineer</c:v>
                </c:pt>
                <c:pt idx="1">
                  <c:v>Seeker</c:v>
                </c:pt>
                <c:pt idx="2">
                  <c:v>Admin</c:v>
                </c:pt>
              </c:strCache>
            </c:strRef>
          </c:cat>
          <c:val>
            <c:numRef>
              <c:f>'User Dashboard'!$C$44:$C$46</c:f>
              <c:numCache>
                <c:formatCode>0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3F-4C3B-86C6-63203DBB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Daily Sign-ups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Dashboard'!$I$43</c:f>
              <c:strCache>
                <c:ptCount val="1"/>
                <c:pt idx="0">
                  <c:v>Sign-ups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'User Dashboard'!$H$44:$H$50</c:f>
              <c:strCache>
                <c:ptCount val="7"/>
                <c:pt idx="0">
                  <c:v>27/8</c:v>
                </c:pt>
                <c:pt idx="1">
                  <c:v>28/8</c:v>
                </c:pt>
                <c:pt idx="2">
                  <c:v>29/8</c:v>
                </c:pt>
                <c:pt idx="3">
                  <c:v>30/8</c:v>
                </c:pt>
                <c:pt idx="4">
                  <c:v>31/8</c:v>
                </c:pt>
                <c:pt idx="5">
                  <c:v>1/9</c:v>
                </c:pt>
                <c:pt idx="6">
                  <c:v>2/9</c:v>
                </c:pt>
              </c:strCache>
            </c:strRef>
          </c:cat>
          <c:val>
            <c:numRef>
              <c:f>'User Dashboard'!$I$44:$I$50</c:f>
              <c:numCache>
                <c:formatCode>0</c:formatCode>
                <c:ptCount val="7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4-4FA7-BD68-B879D2D0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3967829"/>
        <c:axId val="66330864"/>
      </c:barChart>
      <c:catAx>
        <c:axId val="239678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66330864"/>
        <c:crosses val="autoZero"/>
        <c:auto val="1"/>
        <c:lblAlgn val="ctr"/>
        <c:lblOffset val="100"/>
        <c:noMultiLvlLbl val="0"/>
      </c:catAx>
      <c:valAx>
        <c:axId val="6633086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3E7EF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3967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Cumulative Users (growth)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'User Dashboard'!$M$43</c:f>
              <c:strCache>
                <c:ptCount val="1"/>
                <c:pt idx="0">
                  <c:v>Cumulative</c:v>
                </c:pt>
              </c:strCache>
            </c:strRef>
          </c:tx>
          <c:spPr>
            <a:ln w="28080">
              <a:solidFill>
                <a:srgbClr val="2BA39B"/>
              </a:solidFill>
              <a:round/>
            </a:ln>
          </c:spPr>
          <c:marker>
            <c:symbol val="circle"/>
            <c:size val="7"/>
            <c:spPr>
              <a:solidFill>
                <a:srgbClr val="2BA39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'User Dashboard'!$H$44:$H$50</c:f>
              <c:strCache>
                <c:ptCount val="7"/>
                <c:pt idx="0">
                  <c:v>27/8</c:v>
                </c:pt>
                <c:pt idx="1">
                  <c:v>28/8</c:v>
                </c:pt>
                <c:pt idx="2">
                  <c:v>29/8</c:v>
                </c:pt>
                <c:pt idx="3">
                  <c:v>30/8</c:v>
                </c:pt>
                <c:pt idx="4">
                  <c:v>31/8</c:v>
                </c:pt>
                <c:pt idx="5">
                  <c:v>1/9</c:v>
                </c:pt>
                <c:pt idx="6">
                  <c:v>2/9</c:v>
                </c:pt>
              </c:strCache>
            </c:strRef>
          </c:cat>
          <c:val>
            <c:numRef>
              <c:f>'User Dashboard'!$M$44:$M$50</c:f>
              <c:numCache>
                <c:formatCode>0</c:formatCode>
                <c:ptCount val="7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5-4478-BE9D-A52A0C803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951891"/>
        <c:axId val="30325720"/>
      </c:lineChart>
      <c:catAx>
        <c:axId val="78951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0325720"/>
        <c:crosses val="autoZero"/>
        <c:auto val="1"/>
        <c:lblAlgn val="ctr"/>
        <c:lblOffset val="100"/>
        <c:noMultiLvlLbl val="0"/>
      </c:catAx>
      <c:valAx>
        <c:axId val="3032572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3E7EF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78951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Daily Sign-ups by Role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Dashboard'!$J$43</c:f>
              <c:strCache>
                <c:ptCount val="1"/>
                <c:pt idx="0">
                  <c:v>Engineer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'User Dashboard'!$H$44:$H$50</c:f>
              <c:strCache>
                <c:ptCount val="7"/>
                <c:pt idx="0">
                  <c:v>27/8</c:v>
                </c:pt>
                <c:pt idx="1">
                  <c:v>28/8</c:v>
                </c:pt>
                <c:pt idx="2">
                  <c:v>29/8</c:v>
                </c:pt>
                <c:pt idx="3">
                  <c:v>30/8</c:v>
                </c:pt>
                <c:pt idx="4">
                  <c:v>31/8</c:v>
                </c:pt>
                <c:pt idx="5">
                  <c:v>1/9</c:v>
                </c:pt>
                <c:pt idx="6">
                  <c:v>2/9</c:v>
                </c:pt>
              </c:strCache>
            </c:strRef>
          </c:cat>
          <c:val>
            <c:numRef>
              <c:f>'User Dashboard'!$J$44:$J$50</c:f>
              <c:numCache>
                <c:formatCode>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8-4AE5-8F03-783423081F7B}"/>
            </c:ext>
          </c:extLst>
        </c:ser>
        <c:ser>
          <c:idx val="1"/>
          <c:order val="1"/>
          <c:tx>
            <c:strRef>
              <c:f>'User Dashboard'!$K$43</c:f>
              <c:strCache>
                <c:ptCount val="1"/>
                <c:pt idx="0">
                  <c:v>Seeker</c:v>
                </c:pt>
              </c:strCache>
            </c:strRef>
          </c:tx>
          <c:spPr>
            <a:solidFill>
              <a:srgbClr val="2BA39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'User Dashboard'!$H$44:$H$50</c:f>
              <c:strCache>
                <c:ptCount val="7"/>
                <c:pt idx="0">
                  <c:v>27/8</c:v>
                </c:pt>
                <c:pt idx="1">
                  <c:v>28/8</c:v>
                </c:pt>
                <c:pt idx="2">
                  <c:v>29/8</c:v>
                </c:pt>
                <c:pt idx="3">
                  <c:v>30/8</c:v>
                </c:pt>
                <c:pt idx="4">
                  <c:v>31/8</c:v>
                </c:pt>
                <c:pt idx="5">
                  <c:v>1/9</c:v>
                </c:pt>
                <c:pt idx="6">
                  <c:v>2/9</c:v>
                </c:pt>
              </c:strCache>
            </c:strRef>
          </c:cat>
          <c:val>
            <c:numRef>
              <c:f>'User Dashboard'!$K$44:$K$50</c:f>
              <c:numCache>
                <c:formatCode>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8-4AE5-8F03-783423081F7B}"/>
            </c:ext>
          </c:extLst>
        </c:ser>
        <c:ser>
          <c:idx val="2"/>
          <c:order val="2"/>
          <c:tx>
            <c:strRef>
              <c:f>'User Dashboard'!$L$43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'User Dashboard'!$H$44:$H$50</c:f>
              <c:strCache>
                <c:ptCount val="7"/>
                <c:pt idx="0">
                  <c:v>27/8</c:v>
                </c:pt>
                <c:pt idx="1">
                  <c:v>28/8</c:v>
                </c:pt>
                <c:pt idx="2">
                  <c:v>29/8</c:v>
                </c:pt>
                <c:pt idx="3">
                  <c:v>30/8</c:v>
                </c:pt>
                <c:pt idx="4">
                  <c:v>31/8</c:v>
                </c:pt>
                <c:pt idx="5">
                  <c:v>1/9</c:v>
                </c:pt>
                <c:pt idx="6">
                  <c:v>2/9</c:v>
                </c:pt>
              </c:strCache>
            </c:strRef>
          </c:cat>
          <c:val>
            <c:numRef>
              <c:f>'User Dashboard'!$L$44:$L$50</c:f>
              <c:numCache>
                <c:formatCode>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8-4AE5-8F03-783423081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7243077"/>
        <c:axId val="23692264"/>
      </c:barChart>
      <c:catAx>
        <c:axId val="37243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3692264"/>
        <c:crosses val="autoZero"/>
        <c:auto val="1"/>
        <c:lblAlgn val="ctr"/>
        <c:lblOffset val="100"/>
        <c:noMultiLvlLbl val="0"/>
      </c:catAx>
      <c:valAx>
        <c:axId val="2369226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3E7EF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72430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818280</xdr:colOff>
      <xdr:row>22</xdr:row>
      <xdr:rowOff>68760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817920</xdr:colOff>
      <xdr:row>22</xdr:row>
      <xdr:rowOff>68760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818280</xdr:colOff>
      <xdr:row>38</xdr:row>
      <xdr:rowOff>68760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817920</xdr:colOff>
      <xdr:row>38</xdr:row>
      <xdr:rowOff>68760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blUsers" displayName="tblUsers" ref="A1:H10" totalsRowShown="0">
  <autoFilter ref="A1:H10"/>
  <tableColumns count="8">
    <tableColumn id="1" name="ID"/>
    <tableColumn id="2" name="Name"/>
    <tableColumn id="3" name="Email"/>
    <tableColumn id="4" name="Role"/>
    <tableColumn id="5" name="Status"/>
    <tableColumn id="6" name="Created_at"/>
    <tableColumn id="7" name="Created_Date"/>
    <tableColumn id="8" name="Email_Doma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118" workbookViewId="0">
      <selection activeCell="B12" sqref="B12"/>
    </sheetView>
  </sheetViews>
  <sheetFormatPr defaultRowHeight="13.2" x14ac:dyDescent="0.25"/>
  <cols>
    <col min="1" max="1" width="3" bestFit="1" customWidth="1"/>
    <col min="2" max="2" width="17.21875" bestFit="1" customWidth="1"/>
    <col min="3" max="3" width="31" bestFit="1" customWidth="1"/>
    <col min="4" max="4" width="9.6640625" bestFit="1" customWidth="1"/>
    <col min="5" max="5" width="8.109375" bestFit="1" customWidth="1"/>
    <col min="6" max="6" width="6.6640625" bestFit="1" customWidth="1"/>
    <col min="7" max="7" width="18.21875" bestFit="1" customWidth="1"/>
    <col min="8" max="8" width="15.21875" bestFit="1" customWidth="1"/>
  </cols>
  <sheetData>
    <row r="1" spans="1:8" x14ac:dyDescent="0.25">
      <c r="A1" s="12" t="s">
        <v>48</v>
      </c>
      <c r="B1" s="12" t="s">
        <v>0</v>
      </c>
      <c r="C1" s="12" t="s">
        <v>1</v>
      </c>
      <c r="D1" s="12" t="s">
        <v>49</v>
      </c>
      <c r="E1" s="12" t="s">
        <v>2</v>
      </c>
      <c r="F1" s="12" t="s">
        <v>3</v>
      </c>
      <c r="G1" s="12" t="s">
        <v>4</v>
      </c>
      <c r="H1" s="12" t="s">
        <v>50</v>
      </c>
    </row>
    <row r="2" spans="1:8" x14ac:dyDescent="0.25">
      <c r="A2" s="13">
        <v>1</v>
      </c>
      <c r="B2" s="13" t="s">
        <v>5</v>
      </c>
      <c r="C2" s="13" t="s">
        <v>6</v>
      </c>
      <c r="D2" s="14" t="s">
        <v>51</v>
      </c>
      <c r="E2" s="13" t="s">
        <v>7</v>
      </c>
      <c r="F2" s="13" t="s">
        <v>8</v>
      </c>
      <c r="G2" s="15">
        <v>46261.833749999998</v>
      </c>
      <c r="H2" s="13" t="s">
        <v>52</v>
      </c>
    </row>
    <row r="3" spans="1:8" x14ac:dyDescent="0.25">
      <c r="A3" s="13">
        <v>2</v>
      </c>
      <c r="B3" s="13" t="s">
        <v>5</v>
      </c>
      <c r="C3" s="13" t="s">
        <v>6</v>
      </c>
      <c r="D3" s="14" t="s">
        <v>51</v>
      </c>
      <c r="E3" s="13" t="s">
        <v>9</v>
      </c>
      <c r="F3" s="13" t="s">
        <v>8</v>
      </c>
      <c r="G3" s="15">
        <v>46261.836539351854</v>
      </c>
      <c r="H3" s="13" t="s">
        <v>52</v>
      </c>
    </row>
    <row r="4" spans="1:8" x14ac:dyDescent="0.25">
      <c r="A4" s="13">
        <v>3</v>
      </c>
      <c r="B4" s="14" t="s">
        <v>10</v>
      </c>
      <c r="C4" s="13" t="s">
        <v>11</v>
      </c>
      <c r="D4" s="14" t="s">
        <v>51</v>
      </c>
      <c r="E4" s="13" t="s">
        <v>12</v>
      </c>
      <c r="F4" s="13" t="s">
        <v>8</v>
      </c>
      <c r="G4" s="15">
        <v>46261.889722222222</v>
      </c>
      <c r="H4" s="13" t="s">
        <v>53</v>
      </c>
    </row>
    <row r="5" spans="1:8" x14ac:dyDescent="0.25">
      <c r="A5" s="13">
        <v>5</v>
      </c>
      <c r="B5" s="14" t="s">
        <v>13</v>
      </c>
      <c r="C5" s="13" t="s">
        <v>14</v>
      </c>
      <c r="D5" s="14" t="s">
        <v>51</v>
      </c>
      <c r="E5" s="13" t="s">
        <v>9</v>
      </c>
      <c r="F5" s="13" t="s">
        <v>8</v>
      </c>
      <c r="G5" s="15">
        <v>46263.939733796295</v>
      </c>
      <c r="H5" s="16" t="s">
        <v>52</v>
      </c>
    </row>
    <row r="6" spans="1:8" x14ac:dyDescent="0.25">
      <c r="A6" s="13">
        <v>7</v>
      </c>
      <c r="B6" s="14" t="s">
        <v>15</v>
      </c>
      <c r="C6" s="13" t="s">
        <v>16</v>
      </c>
      <c r="D6" s="14" t="s">
        <v>51</v>
      </c>
      <c r="E6" s="13" t="s">
        <v>9</v>
      </c>
      <c r="F6" s="13" t="s">
        <v>8</v>
      </c>
      <c r="G6" s="15">
        <v>46264.795543981483</v>
      </c>
      <c r="H6" s="16" t="s">
        <v>52</v>
      </c>
    </row>
    <row r="7" spans="1:8" x14ac:dyDescent="0.25">
      <c r="A7" s="13">
        <v>9</v>
      </c>
      <c r="B7" s="14" t="s">
        <v>17</v>
      </c>
      <c r="C7" s="13" t="s">
        <v>18</v>
      </c>
      <c r="D7" s="14" t="s">
        <v>51</v>
      </c>
      <c r="E7" s="13" t="s">
        <v>7</v>
      </c>
      <c r="F7" s="13" t="s">
        <v>8</v>
      </c>
      <c r="G7" s="15">
        <v>46267.239305555559</v>
      </c>
      <c r="H7" s="16" t="s">
        <v>52</v>
      </c>
    </row>
    <row r="8" spans="1:8" x14ac:dyDescent="0.25">
      <c r="A8" s="13">
        <v>12</v>
      </c>
      <c r="B8" s="13" t="s">
        <v>19</v>
      </c>
      <c r="C8" s="13" t="s">
        <v>20</v>
      </c>
      <c r="D8" s="14" t="s">
        <v>51</v>
      </c>
      <c r="E8" s="13" t="s">
        <v>9</v>
      </c>
      <c r="F8" s="13" t="s">
        <v>8</v>
      </c>
      <c r="G8" s="15">
        <v>46267.25141203704</v>
      </c>
      <c r="H8" s="16" t="s">
        <v>52</v>
      </c>
    </row>
    <row r="9" spans="1:8" x14ac:dyDescent="0.25">
      <c r="A9" s="13">
        <v>13</v>
      </c>
      <c r="B9" s="14" t="s">
        <v>21</v>
      </c>
      <c r="C9" s="13" t="s">
        <v>22</v>
      </c>
      <c r="D9" s="14" t="s">
        <v>51</v>
      </c>
      <c r="E9" s="13" t="s">
        <v>9</v>
      </c>
      <c r="F9" s="13" t="s">
        <v>8</v>
      </c>
      <c r="G9" s="15">
        <v>46267.461909722224</v>
      </c>
      <c r="H9" s="16" t="s">
        <v>52</v>
      </c>
    </row>
    <row r="10" spans="1:8" x14ac:dyDescent="0.25">
      <c r="A10" s="13">
        <v>15</v>
      </c>
      <c r="B10" s="14" t="s">
        <v>23</v>
      </c>
      <c r="C10" s="13" t="s">
        <v>24</v>
      </c>
      <c r="D10" s="14" t="s">
        <v>51</v>
      </c>
      <c r="E10" s="13" t="s">
        <v>7</v>
      </c>
      <c r="F10" s="13" t="s">
        <v>8</v>
      </c>
      <c r="G10" s="15">
        <v>46267.589814814812</v>
      </c>
      <c r="H10" s="1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zoomScale="90" zoomScaleNormal="160" workbookViewId="0">
      <pane ySplit="1" topLeftCell="A2" activePane="bottomLeft" state="frozen"/>
      <selection pane="bottomLeft" activeCell="C14" sqref="C14"/>
    </sheetView>
  </sheetViews>
  <sheetFormatPr defaultColWidth="8.6640625" defaultRowHeight="13.2" x14ac:dyDescent="0.25"/>
  <cols>
    <col min="1" max="1" width="7" customWidth="1"/>
    <col min="2" max="2" width="22" customWidth="1"/>
    <col min="3" max="3" width="38" customWidth="1"/>
    <col min="4" max="4" width="12" customWidth="1"/>
    <col min="5" max="5" width="11" customWidth="1"/>
    <col min="6" max="6" width="21" customWidth="1"/>
    <col min="7" max="7" width="14" customWidth="1"/>
    <col min="8" max="8" width="18" customWidth="1"/>
  </cols>
  <sheetData>
    <row r="1" spans="1:8" ht="24" customHeight="1" x14ac:dyDescent="0.25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26</v>
      </c>
    </row>
    <row r="2" spans="1:8" x14ac:dyDescent="0.25">
      <c r="A2" s="2">
        <v>1</v>
      </c>
      <c r="B2" s="3" t="s">
        <v>5</v>
      </c>
      <c r="C2" s="3" t="s">
        <v>6</v>
      </c>
      <c r="D2" s="2" t="s">
        <v>7</v>
      </c>
      <c r="E2" s="2" t="s">
        <v>8</v>
      </c>
      <c r="F2" s="4">
        <v>46261.833749999998</v>
      </c>
      <c r="G2" s="5">
        <f t="shared" ref="G2:G10" si="0">INT(F2)</f>
        <v>46261</v>
      </c>
      <c r="H2" s="3" t="str">
        <f t="shared" ref="H2:H10" si="1">IFERROR(LOWER(MID(C2,FIND("@",C2)+1,100)),"")</f>
        <v>gmail.com</v>
      </c>
    </row>
    <row r="3" spans="1:8" x14ac:dyDescent="0.25">
      <c r="A3" s="2">
        <v>2</v>
      </c>
      <c r="B3" s="3" t="s">
        <v>5</v>
      </c>
      <c r="C3" s="3" t="s">
        <v>6</v>
      </c>
      <c r="D3" s="2" t="s">
        <v>9</v>
      </c>
      <c r="E3" s="2" t="s">
        <v>8</v>
      </c>
      <c r="F3" s="4">
        <v>46261.836539351898</v>
      </c>
      <c r="G3" s="5">
        <f t="shared" si="0"/>
        <v>46261</v>
      </c>
      <c r="H3" s="3" t="str">
        <f t="shared" si="1"/>
        <v>gmail.com</v>
      </c>
    </row>
    <row r="4" spans="1:8" x14ac:dyDescent="0.25">
      <c r="A4" s="2">
        <v>3</v>
      </c>
      <c r="B4" s="3" t="s">
        <v>10</v>
      </c>
      <c r="C4" s="3" t="s">
        <v>11</v>
      </c>
      <c r="D4" s="2" t="s">
        <v>12</v>
      </c>
      <c r="E4" s="2" t="s">
        <v>8</v>
      </c>
      <c r="F4" s="4">
        <v>46261.8897222222</v>
      </c>
      <c r="G4" s="5">
        <f t="shared" si="0"/>
        <v>46261</v>
      </c>
      <c r="H4" s="3" t="str">
        <f t="shared" si="1"/>
        <v>engineerhub.com</v>
      </c>
    </row>
    <row r="5" spans="1:8" x14ac:dyDescent="0.25">
      <c r="A5" s="2">
        <v>5</v>
      </c>
      <c r="B5" s="3" t="s">
        <v>13</v>
      </c>
      <c r="C5" s="3" t="s">
        <v>14</v>
      </c>
      <c r="D5" s="2" t="s">
        <v>9</v>
      </c>
      <c r="E5" s="2" t="s">
        <v>8</v>
      </c>
      <c r="F5" s="4">
        <v>46263.939733796302</v>
      </c>
      <c r="G5" s="5">
        <f t="shared" si="0"/>
        <v>46263</v>
      </c>
      <c r="H5" s="3" t="str">
        <f t="shared" si="1"/>
        <v>gmail.com</v>
      </c>
    </row>
    <row r="6" spans="1:8" x14ac:dyDescent="0.25">
      <c r="A6" s="2">
        <v>7</v>
      </c>
      <c r="B6" s="3" t="s">
        <v>15</v>
      </c>
      <c r="C6" s="3" t="s">
        <v>16</v>
      </c>
      <c r="D6" s="2" t="s">
        <v>9</v>
      </c>
      <c r="E6" s="2" t="s">
        <v>8</v>
      </c>
      <c r="F6" s="4">
        <v>46264.795543981498</v>
      </c>
      <c r="G6" s="5">
        <f t="shared" si="0"/>
        <v>46264</v>
      </c>
      <c r="H6" s="3" t="str">
        <f t="shared" si="1"/>
        <v>gmail.com</v>
      </c>
    </row>
    <row r="7" spans="1:8" x14ac:dyDescent="0.25">
      <c r="A7" s="2">
        <v>9</v>
      </c>
      <c r="B7" s="3" t="s">
        <v>17</v>
      </c>
      <c r="C7" s="3" t="s">
        <v>18</v>
      </c>
      <c r="D7" s="2" t="s">
        <v>7</v>
      </c>
      <c r="E7" s="2" t="s">
        <v>8</v>
      </c>
      <c r="F7" s="4">
        <v>46267.239305555602</v>
      </c>
      <c r="G7" s="5">
        <f t="shared" si="0"/>
        <v>46267</v>
      </c>
      <c r="H7" s="3" t="str">
        <f t="shared" si="1"/>
        <v>gamil.com</v>
      </c>
    </row>
    <row r="8" spans="1:8" x14ac:dyDescent="0.25">
      <c r="A8" s="2">
        <v>12</v>
      </c>
      <c r="B8" s="3" t="s">
        <v>19</v>
      </c>
      <c r="C8" s="3" t="s">
        <v>20</v>
      </c>
      <c r="D8" s="2" t="s">
        <v>9</v>
      </c>
      <c r="E8" s="2" t="s">
        <v>8</v>
      </c>
      <c r="F8" s="4">
        <v>46267.251412037003</v>
      </c>
      <c r="G8" s="5">
        <f t="shared" si="0"/>
        <v>46267</v>
      </c>
      <c r="H8" s="3" t="str">
        <f t="shared" si="1"/>
        <v>gmail.com</v>
      </c>
    </row>
    <row r="9" spans="1:8" x14ac:dyDescent="0.25">
      <c r="A9" s="2">
        <v>13</v>
      </c>
      <c r="B9" s="3" t="s">
        <v>21</v>
      </c>
      <c r="C9" s="3" t="s">
        <v>22</v>
      </c>
      <c r="D9" s="2" t="s">
        <v>9</v>
      </c>
      <c r="E9" s="2" t="s">
        <v>8</v>
      </c>
      <c r="F9" s="4">
        <v>46267.461909722202</v>
      </c>
      <c r="G9" s="5">
        <f t="shared" si="0"/>
        <v>46267</v>
      </c>
      <c r="H9" s="3" t="str">
        <f t="shared" si="1"/>
        <v>gamil.com</v>
      </c>
    </row>
    <row r="10" spans="1:8" x14ac:dyDescent="0.25">
      <c r="A10" s="2">
        <v>15</v>
      </c>
      <c r="B10" s="3" t="s">
        <v>23</v>
      </c>
      <c r="C10" s="3" t="s">
        <v>24</v>
      </c>
      <c r="D10" s="2" t="s">
        <v>7</v>
      </c>
      <c r="E10" s="2" t="s">
        <v>8</v>
      </c>
      <c r="F10" s="4">
        <v>46267.589814814797</v>
      </c>
      <c r="G10" s="5">
        <f t="shared" si="0"/>
        <v>46267</v>
      </c>
      <c r="H10" s="3" t="str">
        <f t="shared" si="1"/>
        <v>gmail.com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2"/>
  <sheetViews>
    <sheetView showGridLines="0" tabSelected="1" topLeftCell="G45" zoomScale="196" zoomScaleNormal="196" workbookViewId="0">
      <selection activeCell="K52" sqref="K52"/>
    </sheetView>
  </sheetViews>
  <sheetFormatPr defaultColWidth="8.6640625" defaultRowHeight="13.2" x14ac:dyDescent="0.25"/>
  <cols>
    <col min="1" max="1" width="2" customWidth="1"/>
    <col min="2" max="13" width="13" customWidth="1"/>
    <col min="14" max="14" width="2" customWidth="1"/>
  </cols>
  <sheetData>
    <row r="2" spans="2:13" ht="42" customHeight="1" x14ac:dyDescent="0.25">
      <c r="B2" s="17" t="s">
        <v>27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2:13" x14ac:dyDescent="0.2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2:13" ht="6" customHeight="1" x14ac:dyDescent="0.25"/>
    <row r="5" spans="2:13" ht="19.5" customHeight="1" x14ac:dyDescent="0.25">
      <c r="B5" s="19" t="s">
        <v>28</v>
      </c>
      <c r="C5" s="19"/>
      <c r="D5" s="20" t="s">
        <v>29</v>
      </c>
      <c r="E5" s="20"/>
      <c r="F5" s="21" t="s">
        <v>30</v>
      </c>
      <c r="G5" s="21"/>
      <c r="H5" s="22" t="s">
        <v>31</v>
      </c>
      <c r="I5" s="22"/>
      <c r="J5" s="23" t="s">
        <v>32</v>
      </c>
      <c r="K5" s="23"/>
      <c r="L5" s="24" t="s">
        <v>33</v>
      </c>
      <c r="M5" s="24"/>
    </row>
    <row r="6" spans="2:13" ht="39.75" customHeight="1" x14ac:dyDescent="0.25">
      <c r="B6" s="32">
        <f>COUNTA(Table!$A$2:$A$500)</f>
        <v>9</v>
      </c>
      <c r="C6" s="32"/>
      <c r="D6" s="33">
        <f>C44</f>
        <v>3</v>
      </c>
      <c r="E6" s="33"/>
      <c r="F6" s="34">
        <f>C45</f>
        <v>5</v>
      </c>
      <c r="G6" s="34"/>
      <c r="H6" s="35">
        <f>C46</f>
        <v>1</v>
      </c>
      <c r="I6" s="35"/>
      <c r="J6" s="36">
        <f>COUNTIF(Table!$E$2:$E$500,"active")</f>
        <v>9</v>
      </c>
      <c r="K6" s="36"/>
      <c r="L6" s="28">
        <f>MAX(Table!$G$2:$G$500)</f>
        <v>46267</v>
      </c>
      <c r="M6" s="28"/>
    </row>
    <row r="7" spans="2:13" ht="18" customHeight="1" x14ac:dyDescent="0.25">
      <c r="B7" s="29" t="s">
        <v>34</v>
      </c>
      <c r="C7" s="29"/>
      <c r="D7" s="30">
        <f>IFERROR(D6/$B$6,0)</f>
        <v>0.33333333333333331</v>
      </c>
      <c r="E7" s="30"/>
      <c r="F7" s="30">
        <f>IFERROR(F6/$B$6,0)</f>
        <v>0.55555555555555558</v>
      </c>
      <c r="G7" s="30"/>
      <c r="H7" s="30">
        <f>IFERROR(H6/$B$6,0)</f>
        <v>0.1111111111111111</v>
      </c>
      <c r="I7" s="30"/>
      <c r="J7" s="30">
        <f>IFERROR(J6/$B$6,0)</f>
        <v>1</v>
      </c>
      <c r="K7" s="30"/>
      <c r="L7" s="31">
        <f>MIN(Table!$G$2:$G$500)</f>
        <v>46261</v>
      </c>
      <c r="M7" s="31"/>
    </row>
    <row r="41" spans="2:13" ht="13.8" x14ac:dyDescent="0.25">
      <c r="B41" s="25" t="s">
        <v>35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3" spans="2:13" x14ac:dyDescent="0.25">
      <c r="B43" s="6" t="s">
        <v>2</v>
      </c>
      <c r="C43" s="6" t="s">
        <v>36</v>
      </c>
      <c r="G43" s="6" t="s">
        <v>37</v>
      </c>
      <c r="H43" s="6" t="s">
        <v>38</v>
      </c>
      <c r="I43" s="6" t="s">
        <v>39</v>
      </c>
      <c r="J43" s="6" t="str">
        <f>$B$44</f>
        <v>Engineer</v>
      </c>
      <c r="K43" s="6" t="str">
        <f>$B$45</f>
        <v>Seeker</v>
      </c>
      <c r="L43" s="6" t="str">
        <f>$B$46</f>
        <v>Admin</v>
      </c>
      <c r="M43" s="6" t="s">
        <v>40</v>
      </c>
    </row>
    <row r="44" spans="2:13" x14ac:dyDescent="0.25">
      <c r="B44" s="7" t="s">
        <v>41</v>
      </c>
      <c r="C44" s="8">
        <f>COUNTIF(Table!$D$2:$D$500,B44)</f>
        <v>3</v>
      </c>
      <c r="G44" s="9">
        <f>MAX(Table!$G$2:$G$500)-6</f>
        <v>46261</v>
      </c>
      <c r="H44" s="8" t="str">
        <f t="shared" ref="H44:H50" si="0">DAY(G44)&amp;"/"&amp;MONTH(G44)</f>
        <v>27/8</v>
      </c>
      <c r="I44" s="8">
        <f>COUNTIF(Table!$G$2:$G$500,G44)</f>
        <v>3</v>
      </c>
      <c r="J44" s="8">
        <f>COUNTIFS(Table!$G$2:$G$500,$G44,Table!$D$2:$D$500,J$43)</f>
        <v>1</v>
      </c>
      <c r="K44" s="8">
        <f>COUNTIFS(Table!$G$2:$G$500,$G44,Table!$D$2:$D$500,K$43)</f>
        <v>1</v>
      </c>
      <c r="L44" s="8">
        <f>COUNTIFS(Table!$G$2:$G$500,$G44,Table!$D$2:$D$500,L$43)</f>
        <v>1</v>
      </c>
      <c r="M44" s="8">
        <f>COUNTIF(Table!$G$2:$G$500,"&lt;="&amp;G44)</f>
        <v>3</v>
      </c>
    </row>
    <row r="45" spans="2:13" x14ac:dyDescent="0.25">
      <c r="B45" s="7" t="s">
        <v>42</v>
      </c>
      <c r="C45" s="8">
        <f>COUNTIF(Table!$D$2:$D$500,B45)</f>
        <v>5</v>
      </c>
      <c r="G45" s="9">
        <f t="shared" ref="G45:G50" si="1">G44+1</f>
        <v>46262</v>
      </c>
      <c r="H45" s="8" t="str">
        <f t="shared" si="0"/>
        <v>28/8</v>
      </c>
      <c r="I45" s="8">
        <f>COUNTIF(Table!$G$2:$G$500,G45)</f>
        <v>0</v>
      </c>
      <c r="J45" s="8">
        <f>COUNTIFS(Table!$G$2:$G$500,$G45,Table!$D$2:$D$500,J$43)</f>
        <v>0</v>
      </c>
      <c r="K45" s="8">
        <f>COUNTIFS(Table!$G$2:$G$500,$G45,Table!$D$2:$D$500,K$43)</f>
        <v>0</v>
      </c>
      <c r="L45" s="8">
        <f>COUNTIFS(Table!$G$2:$G$500,$G45,Table!$D$2:$D$500,L$43)</f>
        <v>0</v>
      </c>
      <c r="M45" s="8">
        <f>COUNTIF(Table!$G$2:$G$500,"&lt;="&amp;G45)</f>
        <v>3</v>
      </c>
    </row>
    <row r="46" spans="2:13" x14ac:dyDescent="0.25">
      <c r="B46" s="7" t="s">
        <v>43</v>
      </c>
      <c r="C46" s="8">
        <f>COUNTIF(Table!$D$2:$D$500,B46)</f>
        <v>1</v>
      </c>
      <c r="G46" s="9">
        <f t="shared" si="1"/>
        <v>46263</v>
      </c>
      <c r="H46" s="8" t="str">
        <f t="shared" si="0"/>
        <v>29/8</v>
      </c>
      <c r="I46" s="8">
        <f>COUNTIF(Table!$G$2:$G$500,G46)</f>
        <v>1</v>
      </c>
      <c r="J46" s="8">
        <f>COUNTIFS(Table!$G$2:$G$500,$G46,Table!$D$2:$D$500,J$43)</f>
        <v>0</v>
      </c>
      <c r="K46" s="8">
        <f>COUNTIFS(Table!$G$2:$G$500,$G46,Table!$D$2:$D$500,K$43)</f>
        <v>1</v>
      </c>
      <c r="L46" s="8">
        <f>COUNTIFS(Table!$G$2:$G$500,$G46,Table!$D$2:$D$500,L$43)</f>
        <v>0</v>
      </c>
      <c r="M46" s="8">
        <f>COUNTIF(Table!$G$2:$G$500,"&lt;="&amp;G46)</f>
        <v>4</v>
      </c>
    </row>
    <row r="47" spans="2:13" x14ac:dyDescent="0.25">
      <c r="G47" s="9">
        <f t="shared" si="1"/>
        <v>46264</v>
      </c>
      <c r="H47" s="8" t="str">
        <f t="shared" si="0"/>
        <v>30/8</v>
      </c>
      <c r="I47" s="8">
        <f>COUNTIF(Table!$G$2:$G$500,G47)</f>
        <v>1</v>
      </c>
      <c r="J47" s="8">
        <f>COUNTIFS(Table!$G$2:$G$500,$G47,Table!$D$2:$D$500,J$43)</f>
        <v>0</v>
      </c>
      <c r="K47" s="8">
        <f>COUNTIFS(Table!$G$2:$G$500,$G47,Table!$D$2:$D$500,K$43)</f>
        <v>1</v>
      </c>
      <c r="L47" s="8">
        <f>COUNTIFS(Table!$G$2:$G$500,$G47,Table!$D$2:$D$500,L$43)</f>
        <v>0</v>
      </c>
      <c r="M47" s="8">
        <f>COUNTIF(Table!$G$2:$G$500,"&lt;="&amp;G47)</f>
        <v>5</v>
      </c>
    </row>
    <row r="48" spans="2:13" x14ac:dyDescent="0.25">
      <c r="B48" s="26" t="s">
        <v>44</v>
      </c>
      <c r="C48" s="26"/>
      <c r="D48" s="26"/>
      <c r="E48" s="26"/>
      <c r="G48" s="9">
        <f t="shared" si="1"/>
        <v>46265</v>
      </c>
      <c r="H48" s="8" t="str">
        <f t="shared" si="0"/>
        <v>31/8</v>
      </c>
      <c r="I48" s="8">
        <f>COUNTIF(Table!$G$2:$G$500,G48)</f>
        <v>0</v>
      </c>
      <c r="J48" s="8">
        <f>COUNTIFS(Table!$G$2:$G$500,$G48,Table!$D$2:$D$500,J$43)</f>
        <v>0</v>
      </c>
      <c r="K48" s="8">
        <f>COUNTIFS(Table!$G$2:$G$500,$G48,Table!$D$2:$D$500,K$43)</f>
        <v>0</v>
      </c>
      <c r="L48" s="8">
        <f>COUNTIFS(Table!$G$2:$G$500,$G48,Table!$D$2:$D$500,L$43)</f>
        <v>0</v>
      </c>
      <c r="M48" s="8">
        <f>COUNTIF(Table!$G$2:$G$500,"&lt;="&amp;G48)</f>
        <v>5</v>
      </c>
    </row>
    <row r="49" spans="2:13" x14ac:dyDescent="0.25">
      <c r="B49" s="27" t="s">
        <v>45</v>
      </c>
      <c r="C49" s="27"/>
      <c r="D49" s="27"/>
      <c r="E49" s="10">
        <f>SUMPRODUCT((Table!$C$2:$C$500&lt;&gt;"")*(COUNTIF(Table!$C$2:$C$500,Table!$C$2:$C$500)&gt;1))</f>
        <v>2</v>
      </c>
      <c r="G49" s="9">
        <f t="shared" si="1"/>
        <v>46266</v>
      </c>
      <c r="H49" s="8" t="str">
        <f t="shared" si="0"/>
        <v>1/9</v>
      </c>
      <c r="I49" s="8">
        <f>COUNTIF(Table!$G$2:$G$500,G49)</f>
        <v>0</v>
      </c>
      <c r="J49" s="8">
        <f>COUNTIFS(Table!$G$2:$G$500,$G49,Table!$D$2:$D$500,J$43)</f>
        <v>0</v>
      </c>
      <c r="K49" s="8">
        <f>COUNTIFS(Table!$G$2:$G$500,$G49,Table!$D$2:$D$500,K$43)</f>
        <v>0</v>
      </c>
      <c r="L49" s="8">
        <f>COUNTIFS(Table!$G$2:$G$500,$G49,Table!$D$2:$D$500,L$43)</f>
        <v>0</v>
      </c>
      <c r="M49" s="8">
        <f>COUNTIF(Table!$G$2:$G$500,"&lt;="&amp;G49)</f>
        <v>5</v>
      </c>
    </row>
    <row r="50" spans="2:13" x14ac:dyDescent="0.25">
      <c r="B50" s="27" t="s">
        <v>46</v>
      </c>
      <c r="C50" s="27"/>
      <c r="D50" s="27"/>
      <c r="E50" s="10">
        <f>COUNTIF(Table!$H$2:$H$500,"gamil.com")</f>
        <v>2</v>
      </c>
      <c r="G50" s="9">
        <f t="shared" si="1"/>
        <v>46267</v>
      </c>
      <c r="H50" s="8" t="str">
        <f t="shared" si="0"/>
        <v>2/9</v>
      </c>
      <c r="I50" s="8">
        <f>COUNTIF(Table!$G$2:$G$500,G50)</f>
        <v>4</v>
      </c>
      <c r="J50" s="8">
        <f>COUNTIFS(Table!$G$2:$G$500,$G50,Table!$D$2:$D$500,J$43)</f>
        <v>2</v>
      </c>
      <c r="K50" s="8">
        <f>COUNTIFS(Table!$G$2:$G$500,$G50,Table!$D$2:$D$500,K$43)</f>
        <v>2</v>
      </c>
      <c r="L50" s="8">
        <f>COUNTIFS(Table!$G$2:$G$500,$G50,Table!$D$2:$D$500,L$43)</f>
        <v>0</v>
      </c>
      <c r="M50" s="8">
        <f>COUNTIF(Table!$G$2:$G$500,"&lt;="&amp;G50)</f>
        <v>9</v>
      </c>
    </row>
    <row r="52" spans="2:13" x14ac:dyDescent="0.25">
      <c r="G52" s="11"/>
      <c r="H52" s="11" t="s">
        <v>47</v>
      </c>
      <c r="I52" s="11" t="s">
        <v>47</v>
      </c>
    </row>
  </sheetData>
  <mergeCells count="24">
    <mergeCell ref="B41:M41"/>
    <mergeCell ref="B48:E48"/>
    <mergeCell ref="B49:D49"/>
    <mergeCell ref="B50:D50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B2:M2"/>
    <mergeCell ref="B3:M3"/>
    <mergeCell ref="B5:C5"/>
    <mergeCell ref="D5:E5"/>
    <mergeCell ref="F5:G5"/>
    <mergeCell ref="H5:I5"/>
    <mergeCell ref="J5:K5"/>
    <mergeCell ref="L5:M5"/>
  </mergeCells>
  <conditionalFormatting sqref="E49:E50">
    <cfRule type="cellIs" dxfId="0" priority="2" operator="greaterThan">
      <formula>0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Data</vt:lpstr>
      <vt:lpstr>Table</vt:lpstr>
      <vt:lpstr>User Dashboard</vt:lpstr>
      <vt:lpstr>'User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 GOD WE TRUST</cp:lastModifiedBy>
  <cp:revision>1</cp:revision>
  <dcterms:created xsi:type="dcterms:W3CDTF">2026-09-21T08:19:29Z</dcterms:created>
  <dcterms:modified xsi:type="dcterms:W3CDTF">2026-09-22T08:34:09Z</dcterms:modified>
  <dc:language>en-US</dc:language>
</cp:coreProperties>
</file>